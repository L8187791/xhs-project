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" sheetId="1" state="visible" r:id="rId1"/>
    <sheet xmlns:r="http://schemas.openxmlformats.org/officeDocument/2006/relationships" name="每日台账" sheetId="2" state="visible" r:id="rId2"/>
    <sheet xmlns:r="http://schemas.openxmlformats.org/officeDocument/2006/relationships" name="周回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-dd"/>
  </numFmts>
  <fonts count="6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  <font>
      <b val="1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3" fontId="3" fillId="2" borderId="1" pivotButton="0" quotePrefix="0" xfId="0"/>
    <xf numFmtId="3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2F2F2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46" customWidth="1" min="4" max="4"/>
  </cols>
  <sheetData>
    <row r="1">
      <c r="A1" s="1" t="inlineStr">
        <is>
          <t>第 1 个月目标与判定线</t>
        </is>
      </c>
    </row>
    <row r="2">
      <c r="A2" s="2" t="inlineStr">
        <is>
          <t>口径来源：《第1个月作战方案.md》《项目总纲_求职资料.md》第 9.3 节</t>
        </is>
      </c>
      <c r="B2" s="2" t="n"/>
      <c r="C2" s="2" t="n"/>
      <c r="D2" s="2" t="n"/>
    </row>
    <row r="3">
      <c r="A3" s="3" t="inlineStr">
        <is>
          <t>项目</t>
        </is>
      </c>
      <c r="B3" s="4" t="inlineStr">
        <is>
          <t>数值</t>
        </is>
      </c>
      <c r="C3" s="3" t="inlineStr">
        <is>
          <t>单位</t>
        </is>
      </c>
      <c r="D3" s="3" t="inlineStr">
        <is>
          <t>说明</t>
        </is>
      </c>
    </row>
    <row r="4">
      <c r="A4" s="3" t="inlineStr">
        <is>
          <t>月净利（保底/达标）</t>
        </is>
      </c>
      <c r="B4" s="5" t="n">
        <v>1500</v>
      </c>
      <c r="C4" s="3" t="inlineStr">
        <is>
          <t>元</t>
        </is>
      </c>
      <c r="D4" s="3" t="inlineStr">
        <is>
          <t>达标线</t>
        </is>
      </c>
    </row>
    <row r="5">
      <c r="A5" s="3" t="inlineStr">
        <is>
          <t>月净利（目标）</t>
        </is>
      </c>
      <c r="B5" s="4" t="n">
        <v>2500</v>
      </c>
      <c r="C5" s="3" t="inlineStr">
        <is>
          <t>元</t>
        </is>
      </c>
      <c r="D5" s="3" t="inlineStr"/>
    </row>
    <row r="6">
      <c r="A6" s="3" t="inlineStr">
        <is>
          <t>月净利（挑战）</t>
        </is>
      </c>
      <c r="B6" s="4" t="n">
        <v>5000</v>
      </c>
      <c r="C6" s="3" t="inlineStr">
        <is>
          <t>元</t>
        </is>
      </c>
      <c r="D6" s="3" t="inlineStr">
        <is>
          <t>仅作挑战档，不作达标线</t>
        </is>
      </c>
    </row>
    <row r="7">
      <c r="A7" s="3" t="inlineStr">
        <is>
          <t>累计单量（达标）</t>
        </is>
      </c>
      <c r="B7" s="5" t="n">
        <v>43</v>
      </c>
      <c r="C7" s="3" t="inlineStr">
        <is>
          <t>单</t>
        </is>
      </c>
      <c r="D7" s="3" t="inlineStr">
        <is>
          <t>由 1500 元 ÷ 客单 25–35 元反推</t>
        </is>
      </c>
    </row>
    <row r="8">
      <c r="A8" s="3" t="inlineStr">
        <is>
          <t>客单下限</t>
        </is>
      </c>
      <c r="B8" s="6" t="n">
        <v>25</v>
      </c>
      <c r="C8" s="3" t="inlineStr">
        <is>
          <t>元</t>
        </is>
      </c>
      <c r="D8" s="3" t="inlineStr">
        <is>
          <t>低于此值 = 只有 9.9/19.9 在动</t>
        </is>
      </c>
    </row>
    <row r="9">
      <c r="A9" s="3" t="inlineStr">
        <is>
          <t>客单上限</t>
        </is>
      </c>
      <c r="B9" s="7" t="n">
        <v>35</v>
      </c>
      <c r="C9" s="3" t="inlineStr">
        <is>
          <t>元</t>
        </is>
      </c>
      <c r="D9" s="3" t="inlineStr"/>
    </row>
    <row r="10">
      <c r="A10" s="3" t="inlineStr">
        <is>
          <t>可投入天数</t>
        </is>
      </c>
      <c r="B10" s="3" t="n">
        <v>30</v>
      </c>
      <c r="C10" s="3" t="inlineStr">
        <is>
          <t>天</t>
        </is>
      </c>
      <c r="D10" s="3" t="inlineStr">
        <is>
          <t>Day 1–Day 30</t>
        </is>
      </c>
    </row>
    <row r="11">
      <c r="A11" t="inlineStr">
        <is>
          <t>日均单量（推算）</t>
        </is>
      </c>
      <c r="B11">
        <f>ROUND(B5/B8,2)</f>
        <v/>
      </c>
      <c r="C11" t="inlineStr">
        <is>
          <t>单/天</t>
        </is>
      </c>
      <c r="D11" t="inlineStr"/>
    </row>
    <row r="13">
      <c r="A13" s="2" t="inlineStr">
        <is>
          <t>先行指标</t>
        </is>
      </c>
      <c r="B13" s="2" t="inlineStr">
        <is>
          <t>达标线</t>
        </is>
      </c>
      <c r="C13" s="2" t="inlineStr"/>
      <c r="D13" s="2" t="inlineStr">
        <is>
          <t>含义</t>
        </is>
      </c>
    </row>
    <row r="14">
      <c r="A14" s="3" t="inlineStr">
        <is>
          <t>搜索词带来的曝光</t>
        </is>
      </c>
      <c r="B14" s="3" t="inlineStr">
        <is>
          <t>单篇 ≥ 500</t>
        </is>
      </c>
      <c r="C14" s="3" t="inlineStr"/>
      <c r="D14" s="3" t="inlineStr">
        <is>
          <t>关键词有没有铺进标题</t>
        </is>
      </c>
    </row>
    <row r="15">
      <c r="A15" s="3" t="inlineStr">
        <is>
          <t>商品卡点击率</t>
        </is>
      </c>
      <c r="B15" s="3" t="inlineStr">
        <is>
          <t>≥ 3%</t>
        </is>
      </c>
      <c r="C15" s="3" t="inlineStr"/>
      <c r="D15" s="3" t="inlineStr">
        <is>
          <t>商品卡点击 ÷ 观看；封面标题够不够吸引</t>
        </is>
      </c>
    </row>
    <row r="16">
      <c r="A16" s="3" t="inlineStr">
        <is>
          <t>评论数</t>
        </is>
      </c>
      <c r="B16" s="3" t="inlineStr">
        <is>
          <t>单篇 5–15</t>
        </is>
      </c>
      <c r="C16" s="3" t="inlineStr"/>
      <c r="D16" s="3" t="inlineStr">
        <is>
          <t>互动钩子有没有生效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每日台账（只填浅色 4 列：单量 / 销售额 / 评论 / 单篇最高观看）</t>
        </is>
      </c>
    </row>
    <row r="2">
      <c r="A2" s="8" t="inlineStr">
        <is>
          <t>填完把这张表发我，我按先行指标算断点在哪、下周改什么。</t>
        </is>
      </c>
    </row>
    <row r="4">
      <c r="A4" s="9" t="inlineStr">
        <is>
          <t>Day</t>
        </is>
      </c>
      <c r="B4" s="9" t="inlineStr">
        <is>
          <t>日期</t>
        </is>
      </c>
      <c r="C4" s="9" t="inlineStr">
        <is>
          <t>发布篇目</t>
        </is>
      </c>
      <c r="D4" s="9" t="inlineStr">
        <is>
          <t>单量</t>
        </is>
      </c>
      <c r="E4" s="9" t="inlineStr">
        <is>
          <t>销售额</t>
        </is>
      </c>
      <c r="F4" s="9" t="inlineStr">
        <is>
          <t>客单</t>
        </is>
      </c>
      <c r="G4" s="9" t="inlineStr">
        <is>
          <t>评论数</t>
        </is>
      </c>
      <c r="H4" s="9" t="inlineStr">
        <is>
          <t>单篇最高观看</t>
        </is>
      </c>
      <c r="I4" s="9" t="inlineStr">
        <is>
          <t>累计单量</t>
        </is>
      </c>
      <c r="J4" s="9" t="inlineStr">
        <is>
          <t>累计销售额</t>
        </is>
      </c>
      <c r="K4" s="9" t="inlineStr">
        <is>
          <t>累计客单</t>
        </is>
      </c>
      <c r="L4" s="9" t="inlineStr">
        <is>
          <t>进度判定</t>
        </is>
      </c>
    </row>
    <row r="5">
      <c r="A5" s="10" t="n">
        <v>1</v>
      </c>
      <c r="B5" s="11" t="n"/>
      <c r="C5" s="10" t="n"/>
      <c r="D5" s="12" t="n"/>
      <c r="E5" s="12" t="n"/>
      <c r="F5" s="13">
        <f>IF(D5=0,"",ROUND(E5/D5,2))</f>
        <v/>
      </c>
      <c r="G5" s="12" t="n"/>
      <c r="H5" s="12" t="n"/>
      <c r="I5" s="10">
        <f>SUM($D$5:D5)</f>
        <v/>
      </c>
      <c r="J5" s="10">
        <f>SUM($E$5:E5)</f>
        <v/>
      </c>
      <c r="K5" s="13">
        <f>IF(I5=0,"",ROUND(J5/I5,2))</f>
        <v/>
      </c>
      <c r="L5" s="10">
        <f>IF(I5=0,"—",IF(I5*30/1&gt;=43,"✅ 按节奏",IF(I5*30/1&gt;=30,"🟡 偏慢","⚠️ 需干预")))</f>
        <v/>
      </c>
    </row>
    <row r="6">
      <c r="A6" s="10" t="n">
        <v>2</v>
      </c>
      <c r="B6" s="11" t="n"/>
      <c r="C6" s="10" t="n"/>
      <c r="D6" s="12" t="n"/>
      <c r="E6" s="12" t="n"/>
      <c r="F6" s="13">
        <f>IF(D6=0,"",ROUND(E6/D6,2))</f>
        <v/>
      </c>
      <c r="G6" s="12" t="n"/>
      <c r="H6" s="12" t="n"/>
      <c r="I6" s="10">
        <f>SUM($D$5:D6)</f>
        <v/>
      </c>
      <c r="J6" s="10">
        <f>SUM($E$5:E6)</f>
        <v/>
      </c>
      <c r="K6" s="13">
        <f>IF(I6=0,"",ROUND(J6/I6,2))</f>
        <v/>
      </c>
      <c r="L6" s="10">
        <f>IF(I6=0,"—",IF(I6*30/2&gt;=43,"✅ 按节奏",IF(I6*30/2&gt;=30,"🟡 偏慢","⚠️ 需干预")))</f>
        <v/>
      </c>
    </row>
    <row r="7">
      <c r="A7" s="10" t="n">
        <v>3</v>
      </c>
      <c r="B7" s="11" t="n"/>
      <c r="C7" s="10" t="n"/>
      <c r="D7" s="12" t="n"/>
      <c r="E7" s="12" t="n"/>
      <c r="F7" s="13">
        <f>IF(D7=0,"",ROUND(E7/D7,2))</f>
        <v/>
      </c>
      <c r="G7" s="12" t="n"/>
      <c r="H7" s="12" t="n"/>
      <c r="I7" s="10">
        <f>SUM($D$5:D7)</f>
        <v/>
      </c>
      <c r="J7" s="10">
        <f>SUM($E$5:E7)</f>
        <v/>
      </c>
      <c r="K7" s="13">
        <f>IF(I7=0,"",ROUND(J7/I7,2))</f>
        <v/>
      </c>
      <c r="L7" s="10">
        <f>IF(I7=0,"—",IF(I7*30/3&gt;=43,"✅ 按节奏",IF(I7*30/3&gt;=30,"🟡 偏慢","⚠️ 需干预")))</f>
        <v/>
      </c>
    </row>
    <row r="8">
      <c r="A8" s="10" t="n">
        <v>4</v>
      </c>
      <c r="B8" s="11" t="n"/>
      <c r="C8" s="10" t="n"/>
      <c r="D8" s="12" t="n"/>
      <c r="E8" s="12" t="n"/>
      <c r="F8" s="13">
        <f>IF(D8=0,"",ROUND(E8/D8,2))</f>
        <v/>
      </c>
      <c r="G8" s="12" t="n"/>
      <c r="H8" s="12" t="n"/>
      <c r="I8" s="10">
        <f>SUM($D$5:D8)</f>
        <v/>
      </c>
      <c r="J8" s="10">
        <f>SUM($E$5:E8)</f>
        <v/>
      </c>
      <c r="K8" s="13">
        <f>IF(I8=0,"",ROUND(J8/I8,2))</f>
        <v/>
      </c>
      <c r="L8" s="10">
        <f>IF(I8=0,"—",IF(I8*30/4&gt;=43,"✅ 按节奏",IF(I8*30/4&gt;=30,"🟡 偏慢","⚠️ 需干预")))</f>
        <v/>
      </c>
    </row>
    <row r="9">
      <c r="A9" s="10" t="n">
        <v>5</v>
      </c>
      <c r="B9" s="11" t="n"/>
      <c r="C9" s="10" t="n"/>
      <c r="D9" s="12" t="n"/>
      <c r="E9" s="12" t="n"/>
      <c r="F9" s="13">
        <f>IF(D9=0,"",ROUND(E9/D9,2))</f>
        <v/>
      </c>
      <c r="G9" s="12" t="n"/>
      <c r="H9" s="12" t="n"/>
      <c r="I9" s="10">
        <f>SUM($D$5:D9)</f>
        <v/>
      </c>
      <c r="J9" s="10">
        <f>SUM($E$5:E9)</f>
        <v/>
      </c>
      <c r="K9" s="13">
        <f>IF(I9=0,"",ROUND(J9/I9,2))</f>
        <v/>
      </c>
      <c r="L9" s="10">
        <f>IF(I9=0,"—",IF(I9*30/5&gt;=43,"✅ 按节奏",IF(I9*30/5&gt;=30,"🟡 偏慢","⚠️ 需干预")))</f>
        <v/>
      </c>
    </row>
    <row r="10">
      <c r="A10" s="10" t="n">
        <v>6</v>
      </c>
      <c r="B10" s="11" t="n"/>
      <c r="C10" s="10" t="n"/>
      <c r="D10" s="12" t="n"/>
      <c r="E10" s="12" t="n"/>
      <c r="F10" s="13">
        <f>IF(D10=0,"",ROUND(E10/D10,2))</f>
        <v/>
      </c>
      <c r="G10" s="12" t="n"/>
      <c r="H10" s="12" t="n"/>
      <c r="I10" s="10">
        <f>SUM($D$5:D10)</f>
        <v/>
      </c>
      <c r="J10" s="10">
        <f>SUM($E$5:E10)</f>
        <v/>
      </c>
      <c r="K10" s="13">
        <f>IF(I10=0,"",ROUND(J10/I10,2))</f>
        <v/>
      </c>
      <c r="L10" s="10">
        <f>IF(I10=0,"—",IF(I10*30/6&gt;=43,"✅ 按节奏",IF(I10*30/6&gt;=30,"🟡 偏慢","⚠️ 需干预")))</f>
        <v/>
      </c>
    </row>
    <row r="11">
      <c r="A11" s="10" t="n">
        <v>7</v>
      </c>
      <c r="B11" s="11" t="n"/>
      <c r="C11" s="10" t="n"/>
      <c r="D11" s="12" t="n"/>
      <c r="E11" s="12" t="n"/>
      <c r="F11" s="13">
        <f>IF(D11=0,"",ROUND(E11/D11,2))</f>
        <v/>
      </c>
      <c r="G11" s="12" t="n"/>
      <c r="H11" s="12" t="n"/>
      <c r="I11" s="10">
        <f>SUM($D$5:D11)</f>
        <v/>
      </c>
      <c r="J11" s="10">
        <f>SUM($E$5:E11)</f>
        <v/>
      </c>
      <c r="K11" s="13">
        <f>IF(I11=0,"",ROUND(J11/I11,2))</f>
        <v/>
      </c>
      <c r="L11" s="10">
        <f>IF(I11=0,"—",IF(I11*30/7&gt;=43,"✅ 按节奏",IF(I11*30/7&gt;=30,"🟡 偏慢","⚠️ 需干预")))</f>
        <v/>
      </c>
    </row>
    <row r="12">
      <c r="A12" s="10" t="n">
        <v>8</v>
      </c>
      <c r="B12" s="11" t="n"/>
      <c r="C12" s="10" t="n"/>
      <c r="D12" s="12" t="n"/>
      <c r="E12" s="12" t="n"/>
      <c r="F12" s="13">
        <f>IF(D12=0,"",ROUND(E12/D12,2))</f>
        <v/>
      </c>
      <c r="G12" s="12" t="n"/>
      <c r="H12" s="12" t="n"/>
      <c r="I12" s="10">
        <f>SUM($D$5:D12)</f>
        <v/>
      </c>
      <c r="J12" s="10">
        <f>SUM($E$5:E12)</f>
        <v/>
      </c>
      <c r="K12" s="13">
        <f>IF(I12=0,"",ROUND(J12/I12,2))</f>
        <v/>
      </c>
      <c r="L12" s="10">
        <f>IF(I12=0,"—",IF(I12*30/8&gt;=43,"✅ 按节奏",IF(I12*30/8&gt;=30,"🟡 偏慢","⚠️ 需干预")))</f>
        <v/>
      </c>
    </row>
    <row r="13">
      <c r="A13" s="10" t="n">
        <v>9</v>
      </c>
      <c r="B13" s="11" t="n"/>
      <c r="C13" s="10" t="n"/>
      <c r="D13" s="12" t="n"/>
      <c r="E13" s="12" t="n"/>
      <c r="F13" s="13">
        <f>IF(D13=0,"",ROUND(E13/D13,2))</f>
        <v/>
      </c>
      <c r="G13" s="12" t="n"/>
      <c r="H13" s="12" t="n"/>
      <c r="I13" s="10">
        <f>SUM($D$5:D13)</f>
        <v/>
      </c>
      <c r="J13" s="10">
        <f>SUM($E$5:E13)</f>
        <v/>
      </c>
      <c r="K13" s="13">
        <f>IF(I13=0,"",ROUND(J13/I13,2))</f>
        <v/>
      </c>
      <c r="L13" s="10">
        <f>IF(I13=0,"—",IF(I13*30/9&gt;=43,"✅ 按节奏",IF(I13*30/9&gt;=30,"🟡 偏慢","⚠️ 需干预")))</f>
        <v/>
      </c>
    </row>
    <row r="14">
      <c r="A14" s="10" t="n">
        <v>10</v>
      </c>
      <c r="B14" s="11" t="n"/>
      <c r="C14" s="10" t="n"/>
      <c r="D14" s="12" t="n"/>
      <c r="E14" s="12" t="n"/>
      <c r="F14" s="13">
        <f>IF(D14=0,"",ROUND(E14/D14,2))</f>
        <v/>
      </c>
      <c r="G14" s="12" t="n"/>
      <c r="H14" s="12" t="n"/>
      <c r="I14" s="10">
        <f>SUM($D$5:D14)</f>
        <v/>
      </c>
      <c r="J14" s="10">
        <f>SUM($E$5:E14)</f>
        <v/>
      </c>
      <c r="K14" s="13">
        <f>IF(I14=0,"",ROUND(J14/I14,2))</f>
        <v/>
      </c>
      <c r="L14" s="10">
        <f>IF(I14=0,"—",IF(I14*30/10&gt;=43,"✅ 按节奏",IF(I14*30/10&gt;=30,"🟡 偏慢","⚠️ 需干预")))</f>
        <v/>
      </c>
    </row>
    <row r="15">
      <c r="A15" s="10" t="n">
        <v>11</v>
      </c>
      <c r="B15" s="11" t="n"/>
      <c r="C15" s="10" t="n"/>
      <c r="D15" s="12" t="n"/>
      <c r="E15" s="12" t="n"/>
      <c r="F15" s="13">
        <f>IF(D15=0,"",ROUND(E15/D15,2))</f>
        <v/>
      </c>
      <c r="G15" s="12" t="n"/>
      <c r="H15" s="12" t="n"/>
      <c r="I15" s="10">
        <f>SUM($D$5:D15)</f>
        <v/>
      </c>
      <c r="J15" s="10">
        <f>SUM($E$5:E15)</f>
        <v/>
      </c>
      <c r="K15" s="13">
        <f>IF(I15=0,"",ROUND(J15/I15,2))</f>
        <v/>
      </c>
      <c r="L15" s="10">
        <f>IF(I15=0,"—",IF(I15*30/11&gt;=43,"✅ 按节奏",IF(I15*30/11&gt;=30,"🟡 偏慢","⚠️ 需干预")))</f>
        <v/>
      </c>
    </row>
    <row r="16">
      <c r="A16" s="10" t="n">
        <v>12</v>
      </c>
      <c r="B16" s="11" t="n"/>
      <c r="C16" s="10" t="n"/>
      <c r="D16" s="12" t="n"/>
      <c r="E16" s="12" t="n"/>
      <c r="F16" s="13">
        <f>IF(D16=0,"",ROUND(E16/D16,2))</f>
        <v/>
      </c>
      <c r="G16" s="12" t="n"/>
      <c r="H16" s="12" t="n"/>
      <c r="I16" s="10">
        <f>SUM($D$5:D16)</f>
        <v/>
      </c>
      <c r="J16" s="10">
        <f>SUM($E$5:E16)</f>
        <v/>
      </c>
      <c r="K16" s="13">
        <f>IF(I16=0,"",ROUND(J16/I16,2))</f>
        <v/>
      </c>
      <c r="L16" s="10">
        <f>IF(I16=0,"—",IF(I16*30/12&gt;=43,"✅ 按节奏",IF(I16*30/12&gt;=30,"🟡 偏慢","⚠️ 需干预")))</f>
        <v/>
      </c>
    </row>
    <row r="17">
      <c r="A17" s="10" t="n">
        <v>13</v>
      </c>
      <c r="B17" s="11" t="n"/>
      <c r="C17" s="10" t="n"/>
      <c r="D17" s="12" t="n"/>
      <c r="E17" s="12" t="n"/>
      <c r="F17" s="13">
        <f>IF(D17=0,"",ROUND(E17/D17,2))</f>
        <v/>
      </c>
      <c r="G17" s="12" t="n"/>
      <c r="H17" s="12" t="n"/>
      <c r="I17" s="10">
        <f>SUM($D$5:D17)</f>
        <v/>
      </c>
      <c r="J17" s="10">
        <f>SUM($E$5:E17)</f>
        <v/>
      </c>
      <c r="K17" s="13">
        <f>IF(I17=0,"",ROUND(J17/I17,2))</f>
        <v/>
      </c>
      <c r="L17" s="10">
        <f>IF(I17=0,"—",IF(I17*30/13&gt;=43,"✅ 按节奏",IF(I17*30/13&gt;=30,"🟡 偏慢","⚠️ 需干预")))</f>
        <v/>
      </c>
    </row>
    <row r="18">
      <c r="A18" s="10" t="n">
        <v>14</v>
      </c>
      <c r="B18" s="11" t="n"/>
      <c r="C18" s="10" t="n"/>
      <c r="D18" s="12" t="n"/>
      <c r="E18" s="12" t="n"/>
      <c r="F18" s="13">
        <f>IF(D18=0,"",ROUND(E18/D18,2))</f>
        <v/>
      </c>
      <c r="G18" s="12" t="n"/>
      <c r="H18" s="12" t="n"/>
      <c r="I18" s="10">
        <f>SUM($D$5:D18)</f>
        <v/>
      </c>
      <c r="J18" s="10">
        <f>SUM($E$5:E18)</f>
        <v/>
      </c>
      <c r="K18" s="13">
        <f>IF(I18=0,"",ROUND(J18/I18,2))</f>
        <v/>
      </c>
      <c r="L18" s="10">
        <f>IF(I18=0,"—",IF(I18*30/14&gt;=43,"✅ 按节奏",IF(I18*30/14&gt;=30,"🟡 偏慢","⚠️ 需干预")))</f>
        <v/>
      </c>
    </row>
    <row r="19">
      <c r="A19" s="10" t="n">
        <v>15</v>
      </c>
      <c r="B19" s="11" t="n"/>
      <c r="C19" s="10" t="n"/>
      <c r="D19" s="12" t="n"/>
      <c r="E19" s="12" t="n"/>
      <c r="F19" s="13">
        <f>IF(D19=0,"",ROUND(E19/D19,2))</f>
        <v/>
      </c>
      <c r="G19" s="12" t="n"/>
      <c r="H19" s="12" t="n"/>
      <c r="I19" s="10">
        <f>SUM($D$5:D19)</f>
        <v/>
      </c>
      <c r="J19" s="10">
        <f>SUM($E$5:E19)</f>
        <v/>
      </c>
      <c r="K19" s="13">
        <f>IF(I19=0,"",ROUND(J19/I19,2))</f>
        <v/>
      </c>
      <c r="L19" s="10">
        <f>IF(I19=0,"—",IF(I19*30/15&gt;=43,"✅ 按节奏",IF(I19*30/15&gt;=30,"🟡 偏慢","⚠️ 需干预")))</f>
        <v/>
      </c>
    </row>
    <row r="20">
      <c r="A20" s="10" t="n">
        <v>16</v>
      </c>
      <c r="B20" s="11" t="n"/>
      <c r="C20" s="10" t="n"/>
      <c r="D20" s="12" t="n"/>
      <c r="E20" s="12" t="n"/>
      <c r="F20" s="13">
        <f>IF(D20=0,"",ROUND(E20/D20,2))</f>
        <v/>
      </c>
      <c r="G20" s="12" t="n"/>
      <c r="H20" s="12" t="n"/>
      <c r="I20" s="10">
        <f>SUM($D$5:D20)</f>
        <v/>
      </c>
      <c r="J20" s="10">
        <f>SUM($E$5:E20)</f>
        <v/>
      </c>
      <c r="K20" s="13">
        <f>IF(I20=0,"",ROUND(J20/I20,2))</f>
        <v/>
      </c>
      <c r="L20" s="10">
        <f>IF(I20=0,"—",IF(I20*30/16&gt;=43,"✅ 按节奏",IF(I20*30/16&gt;=30,"🟡 偏慢","⚠️ 需干预")))</f>
        <v/>
      </c>
    </row>
    <row r="21">
      <c r="A21" s="10" t="n">
        <v>17</v>
      </c>
      <c r="B21" s="11" t="n"/>
      <c r="C21" s="10" t="n"/>
      <c r="D21" s="12" t="n"/>
      <c r="E21" s="12" t="n"/>
      <c r="F21" s="13">
        <f>IF(D21=0,"",ROUND(E21/D21,2))</f>
        <v/>
      </c>
      <c r="G21" s="12" t="n"/>
      <c r="H21" s="12" t="n"/>
      <c r="I21" s="10">
        <f>SUM($D$5:D21)</f>
        <v/>
      </c>
      <c r="J21" s="10">
        <f>SUM($E$5:E21)</f>
        <v/>
      </c>
      <c r="K21" s="13">
        <f>IF(I21=0,"",ROUND(J21/I21,2))</f>
        <v/>
      </c>
      <c r="L21" s="10">
        <f>IF(I21=0,"—",IF(I21*30/17&gt;=43,"✅ 按节奏",IF(I21*30/17&gt;=30,"🟡 偏慢","⚠️ 需干预")))</f>
        <v/>
      </c>
    </row>
    <row r="22">
      <c r="A22" s="10" t="n">
        <v>18</v>
      </c>
      <c r="B22" s="11" t="n"/>
      <c r="C22" s="10" t="n"/>
      <c r="D22" s="12" t="n"/>
      <c r="E22" s="12" t="n"/>
      <c r="F22" s="13">
        <f>IF(D22=0,"",ROUND(E22/D22,2))</f>
        <v/>
      </c>
      <c r="G22" s="12" t="n"/>
      <c r="H22" s="12" t="n"/>
      <c r="I22" s="10">
        <f>SUM($D$5:D22)</f>
        <v/>
      </c>
      <c r="J22" s="10">
        <f>SUM($E$5:E22)</f>
        <v/>
      </c>
      <c r="K22" s="13">
        <f>IF(I22=0,"",ROUND(J22/I22,2))</f>
        <v/>
      </c>
      <c r="L22" s="10">
        <f>IF(I22=0,"—",IF(I22*30/18&gt;=43,"✅ 按节奏",IF(I22*30/18&gt;=30,"🟡 偏慢","⚠️ 需干预")))</f>
        <v/>
      </c>
    </row>
    <row r="23">
      <c r="A23" s="10" t="n">
        <v>19</v>
      </c>
      <c r="B23" s="11" t="n"/>
      <c r="C23" s="10" t="n"/>
      <c r="D23" s="12" t="n"/>
      <c r="E23" s="12" t="n"/>
      <c r="F23" s="13">
        <f>IF(D23=0,"",ROUND(E23/D23,2))</f>
        <v/>
      </c>
      <c r="G23" s="12" t="n"/>
      <c r="H23" s="12" t="n"/>
      <c r="I23" s="10">
        <f>SUM($D$5:D23)</f>
        <v/>
      </c>
      <c r="J23" s="10">
        <f>SUM($E$5:E23)</f>
        <v/>
      </c>
      <c r="K23" s="13">
        <f>IF(I23=0,"",ROUND(J23/I23,2))</f>
        <v/>
      </c>
      <c r="L23" s="10">
        <f>IF(I23=0,"—",IF(I23*30/19&gt;=43,"✅ 按节奏",IF(I23*30/19&gt;=30,"🟡 偏慢","⚠️ 需干预")))</f>
        <v/>
      </c>
    </row>
    <row r="24">
      <c r="A24" s="10" t="n">
        <v>20</v>
      </c>
      <c r="B24" s="11" t="n"/>
      <c r="C24" s="10" t="n"/>
      <c r="D24" s="12" t="n"/>
      <c r="E24" s="12" t="n"/>
      <c r="F24" s="13">
        <f>IF(D24=0,"",ROUND(E24/D24,2))</f>
        <v/>
      </c>
      <c r="G24" s="12" t="n"/>
      <c r="H24" s="12" t="n"/>
      <c r="I24" s="10">
        <f>SUM($D$5:D24)</f>
        <v/>
      </c>
      <c r="J24" s="10">
        <f>SUM($E$5:E24)</f>
        <v/>
      </c>
      <c r="K24" s="13">
        <f>IF(I24=0,"",ROUND(J24/I24,2))</f>
        <v/>
      </c>
      <c r="L24" s="10">
        <f>IF(I24=0,"—",IF(I24*30/20&gt;=43,"✅ 按节奏",IF(I24*30/20&gt;=30,"🟡 偏慢","⚠️ 需干预")))</f>
        <v/>
      </c>
    </row>
    <row r="25">
      <c r="A25" s="10" t="n">
        <v>21</v>
      </c>
      <c r="B25" s="11" t="n"/>
      <c r="C25" s="10" t="n"/>
      <c r="D25" s="12" t="n"/>
      <c r="E25" s="12" t="n"/>
      <c r="F25" s="13">
        <f>IF(D25=0,"",ROUND(E25/D25,2))</f>
        <v/>
      </c>
      <c r="G25" s="12" t="n"/>
      <c r="H25" s="12" t="n"/>
      <c r="I25" s="10">
        <f>SUM($D$5:D25)</f>
        <v/>
      </c>
      <c r="J25" s="10">
        <f>SUM($E$5:E25)</f>
        <v/>
      </c>
      <c r="K25" s="13">
        <f>IF(I25=0,"",ROUND(J25/I25,2))</f>
        <v/>
      </c>
      <c r="L25" s="10">
        <f>IF(I25=0,"—",IF(I25*30/21&gt;=43,"✅ 按节奏",IF(I25*30/21&gt;=30,"🟡 偏慢","⚠️ 需干预")))</f>
        <v/>
      </c>
    </row>
    <row r="26">
      <c r="A26" s="10" t="n">
        <v>22</v>
      </c>
      <c r="B26" s="11" t="n"/>
      <c r="C26" s="10" t="n"/>
      <c r="D26" s="12" t="n"/>
      <c r="E26" s="12" t="n"/>
      <c r="F26" s="13">
        <f>IF(D26=0,"",ROUND(E26/D26,2))</f>
        <v/>
      </c>
      <c r="G26" s="12" t="n"/>
      <c r="H26" s="12" t="n"/>
      <c r="I26" s="10">
        <f>SUM($D$5:D26)</f>
        <v/>
      </c>
      <c r="J26" s="10">
        <f>SUM($E$5:E26)</f>
        <v/>
      </c>
      <c r="K26" s="13">
        <f>IF(I26=0,"",ROUND(J26/I26,2))</f>
        <v/>
      </c>
      <c r="L26" s="10">
        <f>IF(I26=0,"—",IF(I26*30/22&gt;=43,"✅ 按节奏",IF(I26*30/22&gt;=30,"🟡 偏慢","⚠️ 需干预")))</f>
        <v/>
      </c>
    </row>
    <row r="27">
      <c r="A27" s="10" t="n">
        <v>23</v>
      </c>
      <c r="B27" s="11" t="n"/>
      <c r="C27" s="10" t="n"/>
      <c r="D27" s="12" t="n"/>
      <c r="E27" s="12" t="n"/>
      <c r="F27" s="13">
        <f>IF(D27=0,"",ROUND(E27/D27,2))</f>
        <v/>
      </c>
      <c r="G27" s="12" t="n"/>
      <c r="H27" s="12" t="n"/>
      <c r="I27" s="10">
        <f>SUM($D$5:D27)</f>
        <v/>
      </c>
      <c r="J27" s="10">
        <f>SUM($E$5:E27)</f>
        <v/>
      </c>
      <c r="K27" s="13">
        <f>IF(I27=0,"",ROUND(J27/I27,2))</f>
        <v/>
      </c>
      <c r="L27" s="10">
        <f>IF(I27=0,"—",IF(I27*30/23&gt;=43,"✅ 按节奏",IF(I27*30/23&gt;=30,"🟡 偏慢","⚠️ 需干预")))</f>
        <v/>
      </c>
    </row>
    <row r="28">
      <c r="A28" s="10" t="n">
        <v>24</v>
      </c>
      <c r="B28" s="11" t="n"/>
      <c r="C28" s="10" t="n"/>
      <c r="D28" s="12" t="n"/>
      <c r="E28" s="12" t="n"/>
      <c r="F28" s="13">
        <f>IF(D28=0,"",ROUND(E28/D28,2))</f>
        <v/>
      </c>
      <c r="G28" s="12" t="n"/>
      <c r="H28" s="12" t="n"/>
      <c r="I28" s="10">
        <f>SUM($D$5:D28)</f>
        <v/>
      </c>
      <c r="J28" s="10">
        <f>SUM($E$5:E28)</f>
        <v/>
      </c>
      <c r="K28" s="13">
        <f>IF(I28=0,"",ROUND(J28/I28,2))</f>
        <v/>
      </c>
      <c r="L28" s="10">
        <f>IF(I28=0,"—",IF(I28*30/24&gt;=43,"✅ 按节奏",IF(I28*30/24&gt;=30,"🟡 偏慢","⚠️ 需干预")))</f>
        <v/>
      </c>
    </row>
    <row r="29">
      <c r="A29" s="10" t="n">
        <v>25</v>
      </c>
      <c r="B29" s="11" t="n"/>
      <c r="C29" s="10" t="n"/>
      <c r="D29" s="12" t="n"/>
      <c r="E29" s="12" t="n"/>
      <c r="F29" s="13">
        <f>IF(D29=0,"",ROUND(E29/D29,2))</f>
        <v/>
      </c>
      <c r="G29" s="12" t="n"/>
      <c r="H29" s="12" t="n"/>
      <c r="I29" s="10">
        <f>SUM($D$5:D29)</f>
        <v/>
      </c>
      <c r="J29" s="10">
        <f>SUM($E$5:E29)</f>
        <v/>
      </c>
      <c r="K29" s="13">
        <f>IF(I29=0,"",ROUND(J29/I29,2))</f>
        <v/>
      </c>
      <c r="L29" s="10">
        <f>IF(I29=0,"—",IF(I29*30/25&gt;=43,"✅ 按节奏",IF(I29*30/25&gt;=30,"🟡 偏慢","⚠️ 需干预")))</f>
        <v/>
      </c>
    </row>
    <row r="30">
      <c r="A30" s="10" t="n">
        <v>26</v>
      </c>
      <c r="B30" s="11" t="n"/>
      <c r="C30" s="10" t="n"/>
      <c r="D30" s="12" t="n"/>
      <c r="E30" s="12" t="n"/>
      <c r="F30" s="13">
        <f>IF(D30=0,"",ROUND(E30/D30,2))</f>
        <v/>
      </c>
      <c r="G30" s="12" t="n"/>
      <c r="H30" s="12" t="n"/>
      <c r="I30" s="10">
        <f>SUM($D$5:D30)</f>
        <v/>
      </c>
      <c r="J30" s="10">
        <f>SUM($E$5:E30)</f>
        <v/>
      </c>
      <c r="K30" s="13">
        <f>IF(I30=0,"",ROUND(J30/I30,2))</f>
        <v/>
      </c>
      <c r="L30" s="10">
        <f>IF(I30=0,"—",IF(I30*30/26&gt;=43,"✅ 按节奏",IF(I30*30/26&gt;=30,"🟡 偏慢","⚠️ 需干预")))</f>
        <v/>
      </c>
    </row>
    <row r="31">
      <c r="A31" s="10" t="n">
        <v>27</v>
      </c>
      <c r="B31" s="11" t="n"/>
      <c r="C31" s="10" t="n"/>
      <c r="D31" s="12" t="n"/>
      <c r="E31" s="12" t="n"/>
      <c r="F31" s="13">
        <f>IF(D31=0,"",ROUND(E31/D31,2))</f>
        <v/>
      </c>
      <c r="G31" s="12" t="n"/>
      <c r="H31" s="12" t="n"/>
      <c r="I31" s="10">
        <f>SUM($D$5:D31)</f>
        <v/>
      </c>
      <c r="J31" s="10">
        <f>SUM($E$5:E31)</f>
        <v/>
      </c>
      <c r="K31" s="13">
        <f>IF(I31=0,"",ROUND(J31/I31,2))</f>
        <v/>
      </c>
      <c r="L31" s="10">
        <f>IF(I31=0,"—",IF(I31*30/27&gt;=43,"✅ 按节奏",IF(I31*30/27&gt;=30,"🟡 偏慢","⚠️ 需干预")))</f>
        <v/>
      </c>
    </row>
    <row r="32">
      <c r="A32" s="10" t="n">
        <v>28</v>
      </c>
      <c r="B32" s="11" t="n"/>
      <c r="C32" s="10" t="n"/>
      <c r="D32" s="12" t="n"/>
      <c r="E32" s="12" t="n"/>
      <c r="F32" s="13">
        <f>IF(D32=0,"",ROUND(E32/D32,2))</f>
        <v/>
      </c>
      <c r="G32" s="12" t="n"/>
      <c r="H32" s="12" t="n"/>
      <c r="I32" s="10">
        <f>SUM($D$5:D32)</f>
        <v/>
      </c>
      <c r="J32" s="10">
        <f>SUM($E$5:E32)</f>
        <v/>
      </c>
      <c r="K32" s="13">
        <f>IF(I32=0,"",ROUND(J32/I32,2))</f>
        <v/>
      </c>
      <c r="L32" s="10">
        <f>IF(I32=0,"—",IF(I32*30/28&gt;=43,"✅ 按节奏",IF(I32*30/28&gt;=30,"🟡 偏慢","⚠️ 需干预")))</f>
        <v/>
      </c>
    </row>
    <row r="33">
      <c r="A33" s="10" t="n">
        <v>29</v>
      </c>
      <c r="B33" s="11" t="n"/>
      <c r="C33" s="10" t="n"/>
      <c r="D33" s="12" t="n"/>
      <c r="E33" s="12" t="n"/>
      <c r="F33" s="13">
        <f>IF(D33=0,"",ROUND(E33/D33,2))</f>
        <v/>
      </c>
      <c r="G33" s="12" t="n"/>
      <c r="H33" s="12" t="n"/>
      <c r="I33" s="10">
        <f>SUM($D$5:D33)</f>
        <v/>
      </c>
      <c r="J33" s="10">
        <f>SUM($E$5:E33)</f>
        <v/>
      </c>
      <c r="K33" s="13">
        <f>IF(I33=0,"",ROUND(J33/I33,2))</f>
        <v/>
      </c>
      <c r="L33" s="10">
        <f>IF(I33=0,"—",IF(I33*30/29&gt;=43,"✅ 按节奏",IF(I33*30/29&gt;=30,"🟡 偏慢","⚠️ 需干预")))</f>
        <v/>
      </c>
    </row>
    <row r="34">
      <c r="A34" s="10" t="n">
        <v>30</v>
      </c>
      <c r="B34" s="11" t="n"/>
      <c r="C34" s="10" t="n"/>
      <c r="D34" s="12" t="n"/>
      <c r="E34" s="12" t="n"/>
      <c r="F34" s="13">
        <f>IF(D34=0,"",ROUND(E34/D34,2))</f>
        <v/>
      </c>
      <c r="G34" s="12" t="n"/>
      <c r="H34" s="12" t="n"/>
      <c r="I34" s="10">
        <f>SUM($D$5:D34)</f>
        <v/>
      </c>
      <c r="J34" s="10">
        <f>SUM($E$5:E34)</f>
        <v/>
      </c>
      <c r="K34" s="13">
        <f>IF(I34=0,"",ROUND(J34/I34,2))</f>
        <v/>
      </c>
      <c r="L34" s="10">
        <f>IF(I34=0,"—",IF(I34*30/30&gt;=43,"✅ 按节奏",IF(I34*30/30&gt;=30,"🟡 偏慢","⚠️ 需干预")))</f>
        <v/>
      </c>
    </row>
    <row r="36">
      <c r="A36" s="14" t="inlineStr">
        <is>
          <t>填表规则</t>
        </is>
      </c>
    </row>
    <row r="37">
      <c r="A37" t="inlineStr">
        <is>
          <t>1. 只填 4 列：单量 / 销售额 / 评论数 / 单篇最高观看。其余列是公式，不要改。</t>
        </is>
      </c>
    </row>
    <row r="38">
      <c r="A38" t="inlineStr">
        <is>
          <t>2. 客单 = 销售额 ÷ 单量（自动算）。**自测单/自己拍的单不计入**。</t>
        </is>
      </c>
    </row>
    <row r="39">
      <c r="A39" t="inlineStr">
        <is>
          <t>3. 「进度判定」按当前累计单量线性外推到 30 天，达标线 43 单。</t>
        </is>
      </c>
    </row>
    <row r="40">
      <c r="A40" t="inlineStr">
        <is>
          <t>4. 单篇最高观看 ≥ 500（绿色）是先行指标达标线；整列会按条件自动标色。</t>
        </is>
      </c>
    </row>
    <row r="41">
      <c r="A41" t="inlineStr">
        <is>
          <t>5. **「客单」这一列比单量更值得盯**：低于 25 元说明只有 9.9/19.9 在动，组合包没接住——这是本月最有价值的警报。</t>
        </is>
      </c>
    </row>
  </sheetData>
  <conditionalFormatting sqref="A5:L34">
    <cfRule type="expression" priority="1" dxfId="0" stopIfTrue="0">
      <formula>$A5&lt;=7</formula>
    </cfRule>
  </conditionalFormatting>
  <conditionalFormatting sqref="L5:L34">
    <cfRule type="cellIs" priority="2" operator="equal" dxfId="1">
      <formula>"✅ 按节奏"</formula>
    </cfRule>
    <cfRule type="cellIs" priority="3" operator="equal" dxfId="2">
      <formula>"⚠️ 需干预"</formula>
    </cfRule>
  </conditionalFormatting>
  <conditionalFormatting sqref="H5:H34">
    <cfRule type="cellIs" priority="4" operator="greaterThanOrEqual" dxfId="1">
      <formula>500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8" customWidth="1" min="4" max="4"/>
    <col width="10" customWidth="1" min="5" max="5"/>
  </cols>
  <sheetData>
    <row r="1">
      <c r="A1" s="1" t="inlineStr">
        <is>
          <t>每周回传（周日晚填，我据此出下周动作）</t>
        </is>
      </c>
    </row>
    <row r="2">
      <c r="A2" s="8" t="inlineStr">
        <is>
          <t>只填「数值」列。判定列自动算。</t>
        </is>
      </c>
    </row>
    <row r="4">
      <c r="A4" s="9" t="inlineStr">
        <is>
          <t>周次</t>
        </is>
      </c>
      <c r="B4" s="9" t="inlineStr">
        <is>
          <t>指标</t>
        </is>
      </c>
      <c r="C4" s="9" t="inlineStr">
        <is>
          <t>数值</t>
        </is>
      </c>
      <c r="D4" s="9" t="inlineStr">
        <is>
          <t>判定线</t>
        </is>
      </c>
      <c r="E4" s="9" t="inlineStr">
        <is>
          <t>达标?</t>
        </is>
      </c>
    </row>
    <row r="5">
      <c r="A5" s="10" t="inlineStr">
        <is>
          <t>Week1</t>
        </is>
      </c>
      <c r="B5" s="10" t="inlineStr">
        <is>
          <t>总曝光</t>
        </is>
      </c>
      <c r="C5" s="12" t="n"/>
      <c r="D5" s="10" t="inlineStr">
        <is>
          <t>—</t>
        </is>
      </c>
      <c r="E5" s="10" t="inlineStr"/>
    </row>
    <row r="6">
      <c r="A6" s="10" t="inlineStr">
        <is>
          <t>Week1</t>
        </is>
      </c>
      <c r="B6" s="10" t="inlineStr">
        <is>
          <t>总观看</t>
        </is>
      </c>
      <c r="C6" s="12" t="n"/>
      <c r="D6" s="10" t="inlineStr">
        <is>
          <t>—</t>
        </is>
      </c>
      <c r="E6" s="10" t="inlineStr"/>
    </row>
    <row r="7">
      <c r="A7" s="10" t="inlineStr">
        <is>
          <t>Week1</t>
        </is>
      </c>
      <c r="B7" s="10" t="inlineStr">
        <is>
          <t>总评论数</t>
        </is>
      </c>
      <c r="C7" s="12" t="n"/>
      <c r="D7" s="10" t="inlineStr">
        <is>
          <t>从 0 变正数</t>
        </is>
      </c>
      <c r="E7" s="10" t="inlineStr"/>
    </row>
    <row r="8">
      <c r="A8" s="10" t="inlineStr">
        <is>
          <t>Week1</t>
        </is>
      </c>
      <c r="B8" s="10" t="inlineStr">
        <is>
          <t>总单量（不含自测单）</t>
        </is>
      </c>
      <c r="C8" s="12" t="n"/>
      <c r="D8" s="10" t="inlineStr">
        <is>
          <t>≥ 1（首单）</t>
        </is>
      </c>
      <c r="E8" s="10" t="inlineStr"/>
    </row>
    <row r="9">
      <c r="A9" s="10" t="inlineStr">
        <is>
          <t>Week1</t>
        </is>
      </c>
      <c r="B9" s="10" t="inlineStr">
        <is>
          <t>客单</t>
        </is>
      </c>
      <c r="C9" s="12" t="n"/>
      <c r="D9" s="10" t="inlineStr">
        <is>
          <t>25–35 元</t>
        </is>
      </c>
      <c r="E9" s="10" t="inlineStr"/>
    </row>
    <row r="10">
      <c r="A10" s="10" t="inlineStr">
        <is>
          <t>Week1</t>
        </is>
      </c>
      <c r="B10" s="10" t="inlineStr">
        <is>
          <t>退款数</t>
        </is>
      </c>
      <c r="C10" s="12" t="n"/>
      <c r="D10" s="10" t="inlineStr">
        <is>
          <t>0</t>
        </is>
      </c>
      <c r="E10" s="10" t="inlineStr"/>
    </row>
    <row r="11">
      <c r="A11" s="10" t="inlineStr">
        <is>
          <t>Week1</t>
        </is>
      </c>
      <c r="B11" s="10" t="inlineStr">
        <is>
          <t>店铺分</t>
        </is>
      </c>
      <c r="C11" s="12" t="n"/>
      <c r="D11" s="10" t="inlineStr">
        <is>
          <t>&gt; 4.6</t>
        </is>
      </c>
      <c r="E11" s="10" t="inlineStr"/>
    </row>
    <row r="12">
      <c r="A12" s="10" t="inlineStr">
        <is>
          <t>Week2</t>
        </is>
      </c>
      <c r="B12" s="10" t="inlineStr">
        <is>
          <t>累计单量</t>
        </is>
      </c>
      <c r="C12" s="12" t="n"/>
      <c r="D12" s="10" t="inlineStr">
        <is>
          <t>≥ 8</t>
        </is>
      </c>
      <c r="E12" s="10" t="inlineStr"/>
    </row>
    <row r="13">
      <c r="A13" s="10" t="inlineStr">
        <is>
          <t>Week2</t>
        </is>
      </c>
      <c r="B13" s="10" t="inlineStr">
        <is>
          <t>单篇最高观看</t>
        </is>
      </c>
      <c r="C13" s="12" t="n"/>
      <c r="D13" s="10" t="inlineStr">
        <is>
          <t>≥ 1000</t>
        </is>
      </c>
      <c r="E13" s="10" t="inlineStr"/>
    </row>
    <row r="14">
      <c r="A14" s="10" t="inlineStr">
        <is>
          <t>Week2</t>
        </is>
      </c>
      <c r="B14" s="10" t="inlineStr">
        <is>
          <t>商品卡点击率</t>
        </is>
      </c>
      <c r="C14" s="12" t="n"/>
      <c r="D14" s="10" t="inlineStr">
        <is>
          <t>≥ 3%</t>
        </is>
      </c>
      <c r="E14" s="10" t="inlineStr"/>
    </row>
    <row r="15">
      <c r="A15" s="10" t="inlineStr">
        <is>
          <t>Week2</t>
        </is>
      </c>
      <c r="B15" s="10" t="inlineStr">
        <is>
          <t>客单</t>
        </is>
      </c>
      <c r="C15" s="12" t="n"/>
      <c r="D15" s="10" t="inlineStr">
        <is>
          <t>25–35 元</t>
        </is>
      </c>
      <c r="E15" s="10" t="inlineStr"/>
    </row>
    <row r="16">
      <c r="A16" s="10" t="inlineStr">
        <is>
          <t>Week2</t>
        </is>
      </c>
      <c r="B16" s="10" t="inlineStr">
        <is>
          <t>退款数</t>
        </is>
      </c>
      <c r="C16" s="12" t="n"/>
      <c r="D16" s="10" t="inlineStr">
        <is>
          <t>0</t>
        </is>
      </c>
      <c r="E16" s="10" t="inlineStr"/>
    </row>
    <row r="17">
      <c r="A17" s="10" t="inlineStr">
        <is>
          <t>Week3</t>
        </is>
      </c>
      <c r="B17" s="10" t="inlineStr">
        <is>
          <t>累计单量</t>
        </is>
      </c>
      <c r="C17" s="12" t="n"/>
      <c r="D17" s="10" t="inlineStr">
        <is>
          <t>≥ 30</t>
        </is>
      </c>
      <c r="E17" s="10" t="inlineStr"/>
    </row>
    <row r="18">
      <c r="A18" s="10" t="inlineStr">
        <is>
          <t>Week3</t>
        </is>
      </c>
      <c r="B18" s="10" t="inlineStr">
        <is>
          <t>客单</t>
        </is>
      </c>
      <c r="C18" s="12" t="n"/>
      <c r="D18" s="10" t="inlineStr">
        <is>
          <t>≥ 25 元</t>
        </is>
      </c>
      <c r="E18" s="10" t="inlineStr"/>
    </row>
    <row r="19">
      <c r="A19" s="10" t="inlineStr">
        <is>
          <t>Week3</t>
        </is>
      </c>
      <c r="B19" s="10" t="inlineStr">
        <is>
          <t>组合包成交</t>
        </is>
      </c>
      <c r="C19" s="12" t="n"/>
      <c r="D19" s="10" t="inlineStr">
        <is>
          <t>≥ 1</t>
        </is>
      </c>
      <c r="E19" s="10" t="inlineStr"/>
    </row>
    <row r="20">
      <c r="A20" s="10" t="inlineStr">
        <is>
          <t>Week3</t>
        </is>
      </c>
      <c r="B20" s="10" t="inlineStr">
        <is>
          <t>退款数</t>
        </is>
      </c>
      <c r="C20" s="12" t="n"/>
      <c r="D20" s="10" t="inlineStr">
        <is>
          <t>0</t>
        </is>
      </c>
      <c r="E20" s="10" t="inlineStr"/>
    </row>
    <row r="22">
      <c r="A22" s="14" t="inlineStr">
        <is>
          <t>还需要你抄 3 条原话（比数字更有用）</t>
        </is>
      </c>
    </row>
    <row r="23">
      <c r="A23" t="inlineStr">
        <is>
          <t>1. 评论区里出现最多的问题（抄 3 条原话）</t>
        </is>
      </c>
    </row>
    <row r="24">
      <c r="A24" t="inlineStr">
        <is>
          <t>2. 私信里问得最多的是什么</t>
        </is>
      </c>
    </row>
    <row r="25">
      <c r="A25" t="inlineStr">
        <is>
          <t>3. 有没有人主动问「能不能帮我看简历」——**这一条决定 T6 怎么选**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2026-10-08T21:20:43Z</dcterms:created>
  <dcterms:modified xmlns:dcterms="http://purl.org/dc/terms/" xmlns:xsi="http://www.w3.org/2001/XMLSchema-instance" xsi:type="dcterms:W3CDTF">2026-10-08T21:20:43Z</dcterms:modified>
</cp:coreProperties>
</file>