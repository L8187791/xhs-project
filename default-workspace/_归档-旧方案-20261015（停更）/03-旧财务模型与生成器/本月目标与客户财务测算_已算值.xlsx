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假设与口径" sheetId="1" state="visible" r:id="rId3"/>
    <sheet name="本月目标" sheetId="2" state="visible" r:id="rId4"/>
    <sheet name="含投流测算" sheetId="3" state="visible" r:id="rId5"/>
    <sheet name="净利敏感性" sheetId="4" state="visible" r:id="rId6"/>
    <sheet name="三周进度表" sheetId="5" state="visible" r:id="rId7"/>
    <sheet name="口径修正对照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<sst xmlns="http://schemas.openxmlformats.org/spreadsheetml/2006/main" count="202" uniqueCount="160">
  <si>
    <r>
      <rPr>
        <b val="true"/>
        <sz val="14"/>
        <rFont val="Noto Sans SC"/>
        <family val="2"/>
      </rPr>
      <t xml:space="preserve">假设与口径（唯一参数源 </t>
    </r>
    <r>
      <rPr>
        <b val="true"/>
        <sz val="14"/>
        <rFont val="Cambria"/>
        <family val="0"/>
        <charset val="1"/>
      </rPr>
      <t xml:space="preserve">· </t>
    </r>
    <r>
      <rPr>
        <b val="true"/>
        <sz val="14"/>
        <rFont val="Noto Sans SC"/>
        <family val="2"/>
      </rPr>
      <t xml:space="preserve">全部测算引用本表）</t>
    </r>
  </si>
  <si>
    <r>
      <rPr>
        <i val="true"/>
        <sz val="9"/>
        <color rgb="FF808080"/>
        <rFont val="Noto Sans SC"/>
        <family val="2"/>
      </rPr>
      <t xml:space="preserve">替换作战室文档中「本月目标 </t>
    </r>
    <r>
      <rPr>
        <i val="true"/>
        <sz val="9"/>
        <color rgb="FF808080"/>
        <rFont val="Cambria"/>
        <family val="0"/>
        <charset val="1"/>
      </rPr>
      <t xml:space="preserve">· </t>
    </r>
    <r>
      <rPr>
        <i val="true"/>
        <sz val="9"/>
        <color rgb="FF808080"/>
        <rFont val="Noto Sans SC"/>
        <family val="2"/>
      </rPr>
      <t xml:space="preserve">净利 </t>
    </r>
    <r>
      <rPr>
        <i val="true"/>
        <sz val="9"/>
        <color rgb="FF808080"/>
        <rFont val="Cambria"/>
        <family val="0"/>
        <charset val="1"/>
      </rPr>
      <t xml:space="preserve">5000 </t>
    </r>
    <r>
      <rPr>
        <i val="true"/>
        <sz val="9"/>
        <color rgb="FF808080"/>
        <rFont val="Noto Sans SC"/>
        <family val="2"/>
      </rPr>
      <t xml:space="preserve">执行方案」的旧口径。淡橙色为可调参数。</t>
    </r>
  </si>
  <si>
    <t xml:space="preserve">参数</t>
  </si>
  <si>
    <t xml:space="preserve">值</t>
  </si>
  <si>
    <t xml:space="preserve">单位</t>
  </si>
  <si>
    <r>
      <rPr>
        <sz val="11"/>
        <color theme="1"/>
        <rFont val="Noto Sans SC"/>
        <family val="2"/>
      </rPr>
      <t xml:space="preserve">说明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与旧口径差异</t>
    </r>
  </si>
  <si>
    <t xml:space="preserve">净利目标</t>
  </si>
  <si>
    <t xml:space="preserve">元</t>
  </si>
  <si>
    <r>
      <rPr>
        <sz val="11"/>
        <color theme="1"/>
        <rFont val="Noto Sans SC"/>
        <family val="2"/>
      </rPr>
      <t xml:space="preserve">维持目标不变，但按三档呈现（保底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目标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挑战）</t>
    </r>
  </si>
  <si>
    <t xml:space="preserve">执行期天数</t>
  </si>
  <si>
    <t xml:space="preserve">天</t>
  </si>
  <si>
    <t xml:space="preserve">10/09–10/31</t>
  </si>
  <si>
    <t xml:space="preserve">平台服务费（常规）</t>
  </si>
  <si>
    <t xml:space="preserve">比例</t>
  </si>
  <si>
    <r>
      <rPr>
        <sz val="11"/>
        <color theme="1"/>
        <rFont val="Noto Sans SC"/>
        <family val="2"/>
      </rPr>
      <t xml:space="preserve">旧口径按 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SC"/>
        <family val="2"/>
      </rPr>
      <t xml:space="preserve">计提，偏高。虚拟商品常规 </t>
    </r>
    <r>
      <rPr>
        <sz val="11"/>
        <color theme="1"/>
        <rFont val="Calibri"/>
        <family val="2"/>
        <charset val="1"/>
      </rPr>
      <t xml:space="preserve">2%</t>
    </r>
  </si>
  <si>
    <t xml:space="preserve">平台服务费（百万免佣期）</t>
  </si>
  <si>
    <r>
      <rPr>
        <sz val="11"/>
        <color theme="1"/>
        <rFont val="Calibri"/>
        <family val="2"/>
        <charset val="1"/>
      </rPr>
      <t xml:space="preserve">2025-09-01 </t>
    </r>
    <r>
      <rPr>
        <sz val="11"/>
        <color theme="1"/>
        <rFont val="Noto Sans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SC"/>
        <family val="2"/>
      </rPr>
      <t xml:space="preserve">：前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SC"/>
        <family val="2"/>
      </rPr>
      <t xml:space="preserve">万交易额免佣，仅留支付渠道成本 </t>
    </r>
    <r>
      <rPr>
        <sz val="11"/>
        <color theme="1"/>
        <rFont val="Calibri"/>
        <family val="2"/>
        <charset val="1"/>
      </rPr>
      <t xml:space="preserve">0.6%</t>
    </r>
  </si>
  <si>
    <t xml:space="preserve">退款损耗（低）</t>
  </si>
  <si>
    <r>
      <rPr>
        <sz val="11"/>
        <color theme="1"/>
        <rFont val="Noto Sans SC"/>
        <family val="2"/>
      </rPr>
      <t xml:space="preserve">旧口径按 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SC"/>
        <family val="2"/>
      </rPr>
      <t xml:space="preserve">计提，偏低</t>
    </r>
  </si>
  <si>
    <t xml:space="preserve">退款损耗（中）</t>
  </si>
  <si>
    <t xml:space="preserve">← 到账率由本行退款口径驱动</t>
  </si>
  <si>
    <t xml:space="preserve">退款损耗（高）</t>
  </si>
  <si>
    <t xml:space="preserve">悲观情景：出现集中退款或差评</t>
  </si>
  <si>
    <t xml:space="preserve">背景口径</t>
  </si>
  <si>
    <t xml:space="preserve">0.02</t>
  </si>
  <si>
    <t xml:space="preserve">文本</t>
  </si>
  <si>
    <t xml:space="preserve">用于本表全部测算，偏保守（未享免佣）</t>
  </si>
  <si>
    <t xml:space="preserve">退款口径</t>
  </si>
  <si>
    <t xml:space="preserve">0.12</t>
  </si>
  <si>
    <t xml:space="preserve">用于本表全部测算，取推荐基准</t>
  </si>
  <si>
    <t xml:space="preserve">客单档位</t>
  </si>
  <si>
    <t xml:space="preserve">客单价</t>
  </si>
  <si>
    <t xml:space="preserve">到账率</t>
  </si>
  <si>
    <r>
      <rPr>
        <b val="true"/>
        <sz val="11"/>
        <color rgb="FFFFFFFF"/>
        <rFont val="Noto Sans SC"/>
        <family val="2"/>
      </rPr>
      <t xml:space="preserve">净额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单</t>
    </r>
  </si>
  <si>
    <t xml:space="preserve">备注</t>
  </si>
  <si>
    <t xml:space="preserve">简历包基础</t>
  </si>
  <si>
    <t xml:space="preserve">低客单，单独卖不划算</t>
  </si>
  <si>
    <t xml:space="preserve">时间表单卖</t>
  </si>
  <si>
    <t xml:space="preserve">引流与信任款</t>
  </si>
  <si>
    <t xml:space="preserve">组合包（主推）</t>
  </si>
  <si>
    <t xml:space="preserve">目标口径</t>
  </si>
  <si>
    <t xml:space="preserve">组合包升级</t>
  </si>
  <si>
    <r>
      <rPr>
        <sz val="11"/>
        <color theme="1"/>
        <rFont val="Noto Sans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</rPr>
      <t xml:space="preserve">周上，冲客单</t>
    </r>
  </si>
  <si>
    <t xml:space="preserve">高客单咨询</t>
  </si>
  <si>
    <t xml:space="preserve">虚拟服务，验证付费意愿用</t>
  </si>
  <si>
    <t xml:space="preserve">数据来源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</si>
  <si>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SC"/>
        <family val="2"/>
      </rPr>
      <t xml:space="preserve">平台服务费 </t>
    </r>
    <r>
      <rPr>
        <sz val="11"/>
        <color theme="1"/>
        <rFont val="Calibri"/>
        <family val="2"/>
        <charset val="1"/>
      </rPr>
      <t xml:space="preserve">2% / </t>
    </r>
    <r>
      <rPr>
        <sz val="11"/>
        <color theme="1"/>
        <rFont val="Noto Sans SC"/>
        <family val="2"/>
      </rPr>
      <t xml:space="preserve">百万免佣 </t>
    </r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SC"/>
        <family val="2"/>
      </rPr>
      <t xml:space="preserve">：小红书虚拟行业经营指南、百万免佣计划公开报道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</si>
  <si>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SC"/>
        <family val="2"/>
      </rPr>
      <t xml:space="preserve">退款损耗 </t>
    </r>
    <r>
      <rPr>
        <sz val="11"/>
        <color theme="1"/>
        <rFont val="Calibri"/>
        <family val="2"/>
        <charset val="1"/>
      </rPr>
      <t xml:space="preserve">8–12%</t>
    </r>
    <r>
      <rPr>
        <sz val="11"/>
        <color theme="1"/>
        <rFont val="Noto Sans SC"/>
        <family val="2"/>
      </rPr>
      <t xml:space="preserve">：虚拟商品退款争议普遍存在；实操记录显示退款会致「店铺分爆红、订单量腰斩、商品笔记停止推流」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</si>
  <si>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SC"/>
        <family val="2"/>
      </rPr>
      <t xml:space="preserve">因此退款不只是损失一单的金额，而是连锁影响后续流量 —— 旧口径按 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SC"/>
        <family val="2"/>
      </rPr>
      <t xml:space="preserve">计提低估了风险</t>
    </r>
  </si>
  <si>
    <r>
      <rPr>
        <b val="true"/>
        <sz val="14"/>
        <rFont val="Noto Sans SC"/>
        <family val="2"/>
      </rPr>
      <t xml:space="preserve">本月目标换算（</t>
    </r>
    <r>
      <rPr>
        <b val="true"/>
        <sz val="14"/>
        <rFont val="Cambria"/>
        <family val="0"/>
        <charset val="1"/>
      </rPr>
      <t xml:space="preserve">22 </t>
    </r>
    <r>
      <rPr>
        <b val="true"/>
        <sz val="14"/>
        <rFont val="Noto Sans SC"/>
        <family val="2"/>
      </rPr>
      <t xml:space="preserve">天 </t>
    </r>
    <r>
      <rPr>
        <b val="true"/>
        <sz val="14"/>
        <rFont val="Cambria"/>
        <family val="0"/>
        <charset val="1"/>
      </rPr>
      <t xml:space="preserve">· 10/09–10/31</t>
    </r>
    <r>
      <rPr>
        <b val="true"/>
        <sz val="14"/>
        <rFont val="Noto Sans SC"/>
        <family val="2"/>
      </rPr>
      <t xml:space="preserve">）</t>
    </r>
  </si>
  <si>
    <r>
      <rPr>
        <i val="true"/>
        <sz val="9"/>
        <color rgb="FF808080"/>
        <rFont val="Noto Sans SC"/>
        <family val="2"/>
      </rPr>
      <t xml:space="preserve">目标 </t>
    </r>
    <r>
      <rPr>
        <i val="true"/>
        <sz val="9"/>
        <color rgb="FF808080"/>
        <rFont val="Cambria"/>
        <family val="0"/>
        <charset val="1"/>
      </rPr>
      <t xml:space="preserve">= 5000 </t>
    </r>
    <r>
      <rPr>
        <i val="true"/>
        <sz val="9"/>
        <color rgb="FF808080"/>
        <rFont val="Noto Sans SC"/>
        <family val="2"/>
      </rPr>
      <t xml:space="preserve">元净利。先选客单档位，再看所需日均单量。</t>
    </r>
  </si>
  <si>
    <t xml:space="preserve">所需单量</t>
  </si>
  <si>
    <t xml:space="preserve">日均单量</t>
  </si>
  <si>
    <t xml:space="preserve">判断</t>
  </si>
  <si>
    <r>
      <rPr>
        <b val="true"/>
        <sz val="11"/>
        <rFont val="Noto Sans SC"/>
        <family val="2"/>
      </rPr>
      <t xml:space="preserve">与旧口径的差异（客单 </t>
    </r>
    <r>
      <rPr>
        <b val="true"/>
        <sz val="11"/>
        <rFont val="Cambria"/>
        <family val="0"/>
        <charset val="1"/>
      </rPr>
      <t xml:space="preserve">15 </t>
    </r>
    <r>
      <rPr>
        <b val="true"/>
        <sz val="11"/>
        <rFont val="Noto Sans SC"/>
        <family val="2"/>
      </rPr>
      <t xml:space="preserve">元 </t>
    </r>
    <r>
      <rPr>
        <b val="true"/>
        <sz val="11"/>
        <rFont val="Cambria"/>
        <family val="0"/>
        <charset val="1"/>
      </rPr>
      <t xml:space="preserve">/ 25.9 </t>
    </r>
    <r>
      <rPr>
        <b val="true"/>
        <sz val="11"/>
        <rFont val="Noto Sans SC"/>
        <family val="2"/>
      </rPr>
      <t xml:space="preserve">元）</t>
    </r>
  </si>
  <si>
    <t xml:space="preserve">口径</t>
  </si>
  <si>
    <t xml:space="preserve">旧文档单量</t>
  </si>
  <si>
    <t xml:space="preserve">旧文档日均</t>
  </si>
  <si>
    <t xml:space="preserve">重算单量</t>
  </si>
  <si>
    <t xml:space="preserve">重算日均</t>
  </si>
  <si>
    <t xml:space="preserve">组合包</t>
  </si>
  <si>
    <t xml:space="preserve">混卖实际客单</t>
  </si>
  <si>
    <r>
      <rPr>
        <b val="true"/>
        <sz val="11"/>
        <color rgb="FFC00000"/>
        <rFont val="Noto Sans SC"/>
        <family val="2"/>
      </rPr>
      <t xml:space="preserve">结论：客单 </t>
    </r>
    <r>
      <rPr>
        <b val="true"/>
        <sz val="11"/>
        <color rgb="FFC00000"/>
        <rFont val="Cambria"/>
        <family val="0"/>
        <charset val="1"/>
      </rPr>
      <t xml:space="preserve">15 </t>
    </r>
    <r>
      <rPr>
        <b val="true"/>
        <sz val="11"/>
        <color rgb="FFC00000"/>
        <rFont val="Noto Sans SC"/>
        <family val="2"/>
      </rPr>
      <t xml:space="preserve">元时日均需约 </t>
    </r>
    <r>
      <rPr>
        <b val="true"/>
        <sz val="11"/>
        <color rgb="FFC00000"/>
        <rFont val="Cambria"/>
        <family val="0"/>
        <charset val="1"/>
      </rPr>
      <t xml:space="preserve">20 </t>
    </r>
    <r>
      <rPr>
        <b val="true"/>
        <sz val="11"/>
        <color rgb="FFC00000"/>
        <rFont val="Noto Sans SC"/>
        <family val="2"/>
      </rPr>
      <t xml:space="preserve">单，对 </t>
    </r>
    <r>
      <rPr>
        <b val="true"/>
        <sz val="11"/>
        <color rgb="FFC00000"/>
        <rFont val="Cambria"/>
        <family val="0"/>
        <charset val="1"/>
      </rPr>
      <t xml:space="preserve">26 </t>
    </r>
    <r>
      <rPr>
        <b val="true"/>
        <sz val="11"/>
        <color rgb="FFC00000"/>
        <rFont val="Noto Sans SC"/>
        <family val="2"/>
      </rPr>
      <t xml:space="preserve">粉新号属结构性不可能 →「把客单做到 </t>
    </r>
    <r>
      <rPr>
        <b val="true"/>
        <sz val="11"/>
        <color rgb="FFC00000"/>
        <rFont val="Cambria"/>
        <family val="0"/>
        <charset val="1"/>
      </rPr>
      <t xml:space="preserve">25 </t>
    </r>
    <r>
      <rPr>
        <b val="true"/>
        <sz val="11"/>
        <color rgb="FFC00000"/>
        <rFont val="Noto Sans SC"/>
        <family val="2"/>
      </rPr>
      <t xml:space="preserve">元以上」是目标成立的前提。</t>
    </r>
  </si>
  <si>
    <r>
      <rPr>
        <b val="true"/>
        <sz val="14"/>
        <rFont val="Noto Sans SC"/>
        <family val="2"/>
      </rPr>
      <t xml:space="preserve">付费流量测算：</t>
    </r>
    <r>
      <rPr>
        <b val="true"/>
        <sz val="14"/>
        <rFont val="Cambria"/>
        <family val="0"/>
        <charset val="1"/>
      </rPr>
      <t xml:space="preserve">25.9 </t>
    </r>
    <r>
      <rPr>
        <b val="true"/>
        <sz val="14"/>
        <rFont val="Noto Sans SC"/>
        <family val="2"/>
      </rPr>
      <t xml:space="preserve">元客单能不能投流？</t>
    </r>
  </si>
  <si>
    <r>
      <rPr>
        <i val="true"/>
        <sz val="9"/>
        <color rgb="FF808080"/>
        <rFont val="Noto Sans SC"/>
        <family val="2"/>
      </rPr>
      <t xml:space="preserve">薯条没有营销组件（只能买阅读</t>
    </r>
    <r>
      <rPr>
        <i val="true"/>
        <sz val="9"/>
        <color rgb="FF808080"/>
        <rFont val="Cambria"/>
        <family val="0"/>
        <charset val="1"/>
      </rPr>
      <t xml:space="preserve">/</t>
    </r>
    <r>
      <rPr>
        <i val="true"/>
        <sz val="9"/>
        <color rgb="FF808080"/>
        <rFont val="Noto Sans SC"/>
        <family val="2"/>
      </rPr>
      <t xml:space="preserve">点赞</t>
    </r>
    <r>
      <rPr>
        <i val="true"/>
        <sz val="9"/>
        <color rgb="FF808080"/>
        <rFont val="Cambria"/>
        <family val="0"/>
        <charset val="1"/>
      </rPr>
      <t xml:space="preserve">/</t>
    </r>
    <r>
      <rPr>
        <i val="true"/>
        <sz val="9"/>
        <color rgb="FF808080"/>
        <rFont val="Noto Sans SC"/>
        <family val="2"/>
      </rPr>
      <t xml:space="preserve">关注）；聚光起充 </t>
    </r>
    <r>
      <rPr>
        <i val="true"/>
        <sz val="9"/>
        <color rgb="FF808080"/>
        <rFont val="Cambria"/>
        <family val="0"/>
        <charset val="1"/>
      </rPr>
      <t xml:space="preserve">5000 </t>
    </r>
    <r>
      <rPr>
        <i val="true"/>
        <sz val="9"/>
        <color rgb="FF808080"/>
        <rFont val="Noto Sans SC"/>
        <family val="2"/>
      </rPr>
      <t xml:space="preserve">元以上、日最低预算 </t>
    </r>
    <r>
      <rPr>
        <i val="true"/>
        <sz val="9"/>
        <color rgb="FF808080"/>
        <rFont val="Cambria"/>
        <family val="0"/>
        <charset val="1"/>
      </rPr>
      <t xml:space="preserve">300 </t>
    </r>
    <r>
      <rPr>
        <i val="true"/>
        <sz val="9"/>
        <color rgb="FF808080"/>
        <rFont val="Noto Sans SC"/>
        <family val="2"/>
      </rPr>
      <t xml:space="preserve">元。以下按聚光 </t>
    </r>
    <r>
      <rPr>
        <i val="true"/>
        <sz val="9"/>
        <color rgb="FF808080"/>
        <rFont val="Cambria"/>
        <family val="0"/>
        <charset val="1"/>
      </rPr>
      <t xml:space="preserve">CPC </t>
    </r>
    <r>
      <rPr>
        <i val="true"/>
        <sz val="9"/>
        <color rgb="FF808080"/>
        <rFont val="Noto Sans SC"/>
        <family val="2"/>
      </rPr>
      <t xml:space="preserve">口径测算。</t>
    </r>
  </si>
  <si>
    <t xml:space="preserve">行业基准</t>
  </si>
  <si>
    <t xml:space="preserve">说明</t>
  </si>
  <si>
    <r>
      <rPr>
        <sz val="11"/>
        <color theme="1"/>
        <rFont val="Calibri"/>
        <family val="2"/>
        <charset val="1"/>
      </rPr>
      <t xml:space="preserve">CPC</t>
    </r>
    <r>
      <rPr>
        <sz val="11"/>
        <color theme="1"/>
        <rFont val="Noto Sans SC"/>
        <family val="2"/>
      </rPr>
      <t xml:space="preserve">（元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点击）</t>
    </r>
  </si>
  <si>
    <t xml:space="preserve">代理商口径下限</t>
  </si>
  <si>
    <t xml:space="preserve">代理商口径上限</t>
  </si>
  <si>
    <t xml:space="preserve">点击→下单转化（低）</t>
  </si>
  <si>
    <t xml:space="preserve">资料类保守值</t>
  </si>
  <si>
    <t xml:space="preserve">点击→下单转化（高）</t>
  </si>
  <si>
    <t xml:space="preserve">乐观值</t>
  </si>
  <si>
    <r>
      <rPr>
        <b val="true"/>
        <sz val="11"/>
        <rFont val="Noto Sans SC"/>
        <family val="2"/>
      </rPr>
      <t xml:space="preserve">获客成本与净利（每个客单档位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SC"/>
        <family val="2"/>
      </rPr>
      <t xml:space="preserve">四种组合）</t>
    </r>
  </si>
  <si>
    <r>
      <rPr>
        <b val="true"/>
        <sz val="11"/>
        <color rgb="FFFFFFFF"/>
        <rFont val="Cambria"/>
        <family val="0"/>
        <charset val="1"/>
      </rPr>
      <t xml:space="preserve">CAC(</t>
    </r>
    <r>
      <rPr>
        <b val="true"/>
        <sz val="11"/>
        <color rgb="FFFFFFFF"/>
        <rFont val="Noto Sans SC"/>
        <family val="2"/>
      </rPr>
      <t xml:space="preserve">低</t>
    </r>
    <r>
      <rPr>
        <b val="true"/>
        <sz val="11"/>
        <color rgb="FFFFFFFF"/>
        <rFont val="Cambria"/>
        <family val="0"/>
        <charset val="1"/>
      </rPr>
      <t xml:space="preserve">CPC</t>
    </r>
    <r>
      <rPr>
        <b val="true"/>
        <sz val="11"/>
        <color rgb="FFFFFFFF"/>
        <rFont val="Noto Sans SC"/>
        <family val="2"/>
      </rPr>
      <t xml:space="preserve">高转化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</si>
  <si>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SC"/>
        <family val="2"/>
      </rPr>
      <t xml:space="preserve">净利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单</t>
    </r>
  </si>
  <si>
    <r>
      <rPr>
        <b val="true"/>
        <sz val="11"/>
        <color rgb="FFFFFFFF"/>
        <rFont val="Cambria"/>
        <family val="0"/>
        <charset val="1"/>
      </rPr>
      <t xml:space="preserve">CAC(</t>
    </r>
    <r>
      <rPr>
        <b val="true"/>
        <sz val="11"/>
        <color rgb="FFFFFFFF"/>
        <rFont val="Noto Sans SC"/>
        <family val="2"/>
      </rPr>
      <t xml:space="preserve">高</t>
    </r>
    <r>
      <rPr>
        <b val="true"/>
        <sz val="11"/>
        <color rgb="FFFFFFFF"/>
        <rFont val="Cambria"/>
        <family val="0"/>
        <charset val="1"/>
      </rPr>
      <t xml:space="preserve">CPC</t>
    </r>
    <r>
      <rPr>
        <b val="true"/>
        <sz val="11"/>
        <color rgb="FFFFFFFF"/>
        <rFont val="Noto Sans SC"/>
        <family val="2"/>
      </rPr>
      <t xml:space="preserve">低转化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</si>
  <si>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SC"/>
        <family val="2"/>
      </rPr>
      <t xml:space="preserve">盈亏平衡</t>
    </r>
    <r>
      <rPr>
        <b val="true"/>
        <sz val="11"/>
        <color rgb="FFFFFFFF"/>
        <rFont val="Cambria"/>
        <family val="0"/>
        <charset val="1"/>
      </rPr>
      <t xml:space="preserve">CAC</t>
    </r>
  </si>
  <si>
    <t xml:space="preserve">结论</t>
  </si>
  <si>
    <t xml:space="preserve">要在本价格带上投正，需要同时满足</t>
  </si>
  <si>
    <r>
      <rPr>
        <sz val="11"/>
        <color theme="1"/>
        <rFont val="Noto Sans SC"/>
        <family val="2"/>
      </rPr>
      <t xml:space="preserve">① 净额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单 </t>
    </r>
    <r>
      <rPr>
        <sz val="11"/>
        <color theme="1"/>
        <rFont val="Calibri"/>
        <family val="2"/>
        <charset val="1"/>
      </rPr>
      <t xml:space="preserve">&gt; CAC</t>
    </r>
    <r>
      <rPr>
        <sz val="11"/>
        <color theme="1"/>
        <rFont val="Noto Sans SC"/>
        <family val="2"/>
      </rPr>
      <t xml:space="preserve">；② 点击→下单转化 </t>
    </r>
    <r>
      <rPr>
        <sz val="11"/>
        <color theme="1"/>
        <rFont val="Calibri"/>
        <family val="2"/>
        <charset val="1"/>
      </rPr>
      <t xml:space="preserve">&gt; CPC ÷ </t>
    </r>
    <r>
      <rPr>
        <sz val="11"/>
        <color theme="1"/>
        <rFont val="Noto Sans SC"/>
        <family val="2"/>
      </rPr>
      <t xml:space="preserve">净额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单。以主推组合包（</t>
    </r>
    <r>
      <rPr>
        <sz val="11"/>
        <color theme="1"/>
        <rFont val="Calibri"/>
        <family val="2"/>
        <charset val="1"/>
      </rPr>
      <t xml:space="preserve">25.9 </t>
    </r>
    <r>
      <rPr>
        <sz val="11"/>
        <color theme="1"/>
        <rFont val="Noto Sans SC"/>
        <family val="2"/>
      </rPr>
      <t xml:space="preserve">元）为例：</t>
    </r>
  </si>
  <si>
    <r>
      <rPr>
        <b val="true"/>
        <sz val="11"/>
        <color rgb="FFC00000"/>
        <rFont val="Noto Sans SC"/>
        <family val="2"/>
      </rPr>
      <t xml:space="preserve">结论：本项目在 </t>
    </r>
    <r>
      <rPr>
        <b val="true"/>
        <sz val="11"/>
        <color rgb="FFC00000"/>
        <rFont val="Cambria"/>
        <family val="0"/>
        <charset val="1"/>
      </rPr>
      <t xml:space="preserve">19.9–25.9 </t>
    </r>
    <r>
      <rPr>
        <b val="true"/>
        <sz val="11"/>
        <color rgb="FFC00000"/>
        <rFont val="Noto Sans SC"/>
        <family val="2"/>
      </rPr>
      <t xml:space="preserve">元价格带上，付费投流在数学上不成立，应转搜索关键词 </t>
    </r>
    <r>
      <rPr>
        <b val="true"/>
        <sz val="11"/>
        <color rgb="FFC00000"/>
        <rFont val="Cambria"/>
        <family val="0"/>
        <charset val="1"/>
      </rPr>
      <t xml:space="preserve">+ </t>
    </r>
    <r>
      <rPr>
        <b val="true"/>
        <sz val="11"/>
        <color rgb="FFC00000"/>
        <rFont val="Noto Sans SC"/>
        <family val="2"/>
      </rPr>
      <t xml:space="preserve">群聊。</t>
    </r>
  </si>
  <si>
    <t xml:space="preserve">结论计算块（可改）</t>
  </si>
  <si>
    <t xml:space="preserve">主推客单价</t>
  </si>
  <si>
    <r>
      <rPr>
        <b val="true"/>
        <sz val="11"/>
        <rFont val="Noto Sans SC"/>
        <family val="2"/>
      </rPr>
      <t xml:space="preserve">净额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Noto Sans SC"/>
        <family val="2"/>
      </rPr>
      <t xml:space="preserve">单</t>
    </r>
  </si>
  <si>
    <r>
      <rPr>
        <b val="true"/>
        <sz val="11"/>
        <rFont val="Cambria"/>
        <family val="0"/>
        <charset val="1"/>
      </rPr>
      <t xml:space="preserve">CPC </t>
    </r>
    <r>
      <rPr>
        <b val="true"/>
        <sz val="11"/>
        <rFont val="Noto Sans SC"/>
        <family val="2"/>
      </rPr>
      <t xml:space="preserve">上限（转化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</si>
  <si>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CPC=4 </t>
    </r>
    <r>
      <rPr>
        <b val="true"/>
        <sz val="11"/>
        <rFont val="Noto Sans SC"/>
        <family val="2"/>
      </rPr>
      <t xml:space="preserve">元时所需转化率</t>
    </r>
  </si>
  <si>
    <r>
      <rPr>
        <b val="true"/>
        <sz val="14"/>
        <rFont val="Noto Sans SC"/>
        <family val="2"/>
      </rPr>
      <t xml:space="preserve">净利敏感性：</t>
    </r>
    <r>
      <rPr>
        <b val="true"/>
        <sz val="14"/>
        <rFont val="Cambria"/>
        <family val="0"/>
        <charset val="1"/>
      </rPr>
      <t xml:space="preserve">22 </t>
    </r>
    <r>
      <rPr>
        <b val="true"/>
        <sz val="14"/>
        <rFont val="Noto Sans SC"/>
        <family val="2"/>
      </rPr>
      <t xml:space="preserve">天 </t>
    </r>
    <r>
      <rPr>
        <b val="true"/>
        <sz val="14"/>
        <rFont val="Cambria"/>
        <family val="0"/>
        <charset val="1"/>
      </rPr>
      <t xml:space="preserve">× </t>
    </r>
    <r>
      <rPr>
        <b val="true"/>
        <sz val="14"/>
        <rFont val="Noto Sans SC"/>
        <family val="2"/>
      </rPr>
      <t xml:space="preserve">不同客单 </t>
    </r>
    <r>
      <rPr>
        <b val="true"/>
        <sz val="14"/>
        <rFont val="Cambria"/>
        <family val="0"/>
        <charset val="1"/>
      </rPr>
      <t xml:space="preserve">× </t>
    </r>
    <r>
      <rPr>
        <b val="true"/>
        <sz val="14"/>
        <rFont val="Noto Sans SC"/>
        <family val="2"/>
      </rPr>
      <t xml:space="preserve">不同日均单量</t>
    </r>
  </si>
  <si>
    <r>
      <rPr>
        <i val="true"/>
        <sz val="9"/>
        <color rgb="FF808080"/>
        <rFont val="Noto Sans SC"/>
        <family val="2"/>
      </rPr>
      <t xml:space="preserve">绿色 </t>
    </r>
    <r>
      <rPr>
        <i val="true"/>
        <sz val="9"/>
        <color rgb="FF808080"/>
        <rFont val="Cambria"/>
        <family val="0"/>
        <charset val="1"/>
      </rPr>
      <t xml:space="preserve">= </t>
    </r>
    <r>
      <rPr>
        <i val="true"/>
        <sz val="9"/>
        <color rgb="FF808080"/>
        <rFont val="Noto Sans SC"/>
        <family val="2"/>
      </rPr>
      <t xml:space="preserve">达成 </t>
    </r>
    <r>
      <rPr>
        <i val="true"/>
        <sz val="9"/>
        <color rgb="FF808080"/>
        <rFont val="Cambria"/>
        <family val="0"/>
        <charset val="1"/>
      </rPr>
      <t xml:space="preserve">5000 </t>
    </r>
    <r>
      <rPr>
        <i val="true"/>
        <sz val="9"/>
        <color rgb="FF808080"/>
        <rFont val="Noto Sans SC"/>
        <family val="2"/>
      </rPr>
      <t xml:space="preserve">目标的组合；浅橙 </t>
    </r>
    <r>
      <rPr>
        <i val="true"/>
        <sz val="9"/>
        <color rgb="FF808080"/>
        <rFont val="Cambria"/>
        <family val="0"/>
        <charset val="1"/>
      </rPr>
      <t xml:space="preserve">= </t>
    </r>
    <r>
      <rPr>
        <i val="true"/>
        <sz val="9"/>
        <color rgb="FF808080"/>
        <rFont val="Noto Sans SC"/>
        <family val="2"/>
      </rPr>
      <t xml:space="preserve">低于 </t>
    </r>
    <r>
      <rPr>
        <i val="true"/>
        <sz val="9"/>
        <color rgb="FF808080"/>
        <rFont val="Cambria"/>
        <family val="0"/>
        <charset val="1"/>
      </rPr>
      <t xml:space="preserve">2500</t>
    </r>
    <r>
      <rPr>
        <i val="true"/>
        <sz val="9"/>
        <color rgb="FF808080"/>
        <rFont val="Noto Sans SC"/>
        <family val="2"/>
      </rPr>
      <t xml:space="preserve">。列按客单价，行按日均单量。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</si>
  <si>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SC"/>
        <family val="2"/>
      </rPr>
      <t xml:space="preserve">净额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单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SC"/>
        <family val="2"/>
      </rPr>
      <t xml:space="preserve">客单价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</rPr>
      <t xml:space="preserve">到账率（到账率取自「假设与口径」，当前为 </t>
    </r>
    <r>
      <rPr>
        <sz val="11"/>
        <color theme="1"/>
        <rFont val="Calibri"/>
        <family val="2"/>
        <charset val="1"/>
      </rPr>
      <t xml:space="preserve">88%</t>
    </r>
    <r>
      <rPr>
        <sz val="11"/>
        <color theme="1"/>
        <rFont val="Noto Sans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2% </t>
    </r>
    <r>
      <rPr>
        <sz val="11"/>
        <color theme="1"/>
        <rFont val="Noto Sans SC"/>
        <family val="2"/>
      </rPr>
      <t xml:space="preserve">平台服务费 </t>
    </r>
    <r>
      <rPr>
        <sz val="11"/>
        <color theme="1"/>
        <rFont val="Calibri"/>
        <family val="2"/>
        <charset val="1"/>
      </rPr>
      <t xml:space="preserve">+ 12% </t>
    </r>
    <r>
      <rPr>
        <sz val="11"/>
        <color theme="1"/>
        <rFont val="Noto Sans SC"/>
        <family val="2"/>
      </rPr>
      <t xml:space="preserve">退款）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</si>
  <si>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SC"/>
        <family val="2"/>
      </rPr>
      <t xml:space="preserve">表中为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SC"/>
        <family val="2"/>
      </rPr>
      <t xml:space="preserve">天累计净利。绿色达成 </t>
    </r>
    <r>
      <rPr>
        <sz val="11"/>
        <color theme="1"/>
        <rFont val="Calibri"/>
        <family val="2"/>
        <charset val="1"/>
      </rPr>
      <t xml:space="preserve">5000</t>
    </r>
    <r>
      <rPr>
        <sz val="11"/>
        <color theme="1"/>
        <rFont val="Noto Sans SC"/>
        <family val="2"/>
      </rPr>
      <t xml:space="preserve">，浅橙低于 </t>
    </r>
    <r>
      <rPr>
        <sz val="11"/>
        <color theme="1"/>
        <rFont val="Calibri"/>
        <family val="2"/>
        <charset val="1"/>
      </rPr>
      <t xml:space="preserve">2500</t>
    </r>
    <r>
      <rPr>
        <sz val="11"/>
        <color theme="1"/>
        <rFont val="Noto Sans SC"/>
        <family val="2"/>
      </rPr>
      <t xml:space="preserve">（文档自认的中位预期区间上限）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</si>
  <si>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SC"/>
        <family val="2"/>
      </rPr>
      <t xml:space="preserve">对照：账号当前单篇最高观看 </t>
    </r>
    <r>
      <rPr>
        <sz val="11"/>
        <color theme="1"/>
        <rFont val="Calibri"/>
        <family val="2"/>
        <charset val="1"/>
      </rPr>
      <t xml:space="preserve">799</t>
    </r>
    <r>
      <rPr>
        <sz val="11"/>
        <color theme="1"/>
        <rFont val="Noto Sans SC"/>
        <family val="2"/>
      </rPr>
      <t xml:space="preserve">；历史最高曝光 </t>
    </r>
    <r>
      <rPr>
        <sz val="11"/>
        <color theme="1"/>
        <rFont val="Calibri"/>
        <family val="2"/>
        <charset val="1"/>
      </rPr>
      <t xml:space="preserve">2051</t>
    </r>
    <r>
      <rPr>
        <sz val="11"/>
        <color theme="1"/>
        <rFont val="Noto Sans SC"/>
        <family val="2"/>
      </rPr>
      <t xml:space="preserve">（观看约 </t>
    </r>
    <r>
      <rPr>
        <sz val="11"/>
        <color theme="1"/>
        <rFont val="Calibri"/>
        <family val="2"/>
        <charset val="1"/>
      </rPr>
      <t xml:space="preserve">280</t>
    </r>
    <r>
      <rPr>
        <sz val="11"/>
        <color theme="1"/>
        <rFont val="Noto Sans SC"/>
        <family val="2"/>
      </rPr>
      <t xml:space="preserve">）→ 日均 </t>
    </r>
    <r>
      <rPr>
        <sz val="11"/>
        <color theme="1"/>
        <rFont val="Calibri"/>
        <family val="2"/>
        <charset val="1"/>
      </rPr>
      <t xml:space="preserve">7–10 </t>
    </r>
    <r>
      <rPr>
        <sz val="11"/>
        <color theme="1"/>
        <rFont val="Noto Sans SC"/>
        <family val="2"/>
      </rPr>
      <t xml:space="preserve">单需要稳定爆款</t>
    </r>
  </si>
  <si>
    <r>
      <rPr>
        <b val="true"/>
        <sz val="14"/>
        <rFont val="Noto Sans SC"/>
        <family val="2"/>
      </rPr>
      <t xml:space="preserve">三周进度表与判定线（按 </t>
    </r>
    <r>
      <rPr>
        <b val="true"/>
        <sz val="14"/>
        <rFont val="Cambria"/>
        <family val="0"/>
        <charset val="1"/>
      </rPr>
      <t xml:space="preserve">5000 </t>
    </r>
    <r>
      <rPr>
        <b val="true"/>
        <sz val="14"/>
        <rFont val="Noto Sans SC"/>
        <family val="2"/>
      </rPr>
      <t xml:space="preserve">元目标折算）</t>
    </r>
  </si>
  <si>
    <r>
      <rPr>
        <i val="true"/>
        <sz val="9"/>
        <color rgb="FF808080"/>
        <rFont val="Noto Sans SC"/>
        <family val="2"/>
      </rPr>
      <t xml:space="preserve">判定线已按剔除平台 </t>
    </r>
    <r>
      <rPr>
        <i val="true"/>
        <sz val="9"/>
        <color rgb="FF808080"/>
        <rFont val="Cambria"/>
        <family val="0"/>
        <charset val="1"/>
      </rPr>
      <t xml:space="preserve">5% </t>
    </r>
    <r>
      <rPr>
        <i val="true"/>
        <sz val="9"/>
        <color rgb="FF808080"/>
        <rFont val="Noto Sans SC"/>
        <family val="2"/>
      </rPr>
      <t xml:space="preserve">假设、采用 </t>
    </r>
    <r>
      <rPr>
        <i val="true"/>
        <sz val="9"/>
        <color rgb="FF808080"/>
        <rFont val="Cambria"/>
        <family val="0"/>
        <charset val="1"/>
      </rPr>
      <t xml:space="preserve">88% </t>
    </r>
    <r>
      <rPr>
        <i val="true"/>
        <sz val="9"/>
        <color rgb="FF808080"/>
        <rFont val="Noto Sans SC"/>
        <family val="2"/>
      </rPr>
      <t xml:space="preserve">到账率重算；客单基准 </t>
    </r>
    <r>
      <rPr>
        <i val="true"/>
        <sz val="9"/>
        <color rgb="FF808080"/>
        <rFont val="Cambria"/>
        <family val="0"/>
        <charset val="1"/>
      </rPr>
      <t xml:space="preserve">25.9 </t>
    </r>
    <r>
      <rPr>
        <i val="true"/>
        <sz val="9"/>
        <color rgb="FF808080"/>
        <rFont val="Noto Sans SC"/>
        <family val="2"/>
      </rPr>
      <t xml:space="preserve">元。</t>
    </r>
  </si>
  <si>
    <t xml:space="preserve">阶段</t>
  </si>
  <si>
    <t xml:space="preserve">日期</t>
  </si>
  <si>
    <t xml:space="preserve">天数</t>
  </si>
  <si>
    <t xml:space="preserve">阶段目标</t>
  </si>
  <si>
    <t xml:space="preserve">阶段单量</t>
  </si>
  <si>
    <t xml:space="preserve">累计单量</t>
  </si>
  <si>
    <t xml:space="preserve">累计净利</t>
  </si>
  <si>
    <t xml:space="preserve">文档原判定线</t>
  </si>
  <si>
    <t xml:space="preserve">判定</t>
  </si>
  <si>
    <r>
      <rPr>
        <sz val="11"/>
        <color theme="1"/>
        <rFont val="Noto Sans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</rPr>
      <t xml:space="preserve">周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</rPr>
      <t xml:space="preserve">起量</t>
    </r>
  </si>
  <si>
    <t xml:space="preserve">10/09–10/15</t>
  </si>
  <si>
    <r>
      <rPr>
        <sz val="11"/>
        <color theme="1"/>
        <rFont val="Noto Sans SC"/>
        <family val="2"/>
      </rPr>
      <t xml:space="preserve">日均 </t>
    </r>
    <r>
      <rPr>
        <sz val="11"/>
        <color theme="1"/>
        <rFont val="Calibri"/>
        <family val="2"/>
        <charset val="1"/>
      </rPr>
      <t xml:space="preserve">10.0 </t>
    </r>
    <r>
      <rPr>
        <sz val="11"/>
        <color theme="1"/>
        <rFont val="Noto Sans SC"/>
        <family val="2"/>
      </rPr>
      <t xml:space="preserve">单</t>
    </r>
  </si>
  <si>
    <t xml:space="preserve">—</t>
  </si>
  <si>
    <r>
      <rPr>
        <sz val="11"/>
        <color theme="1"/>
        <rFont val="Noto Sans SC"/>
        <family val="2"/>
      </rPr>
      <t xml:space="preserve">按累计净利对照 </t>
    </r>
    <r>
      <rPr>
        <sz val="11"/>
        <color theme="1"/>
        <rFont val="Calibri"/>
        <family val="2"/>
        <charset val="1"/>
      </rPr>
      <t xml:space="preserve">5000</t>
    </r>
  </si>
  <si>
    <r>
      <rPr>
        <sz val="11"/>
        <color theme="1"/>
        <rFont val="Noto Sans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</rPr>
      <t xml:space="preserve">周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</rPr>
      <t xml:space="preserve">冲刺</t>
    </r>
  </si>
  <si>
    <t xml:space="preserve">10/16–10/22</t>
  </si>
  <si>
    <r>
      <rPr>
        <sz val="11"/>
        <color theme="1"/>
        <rFont val="Calibri"/>
        <family val="2"/>
        <charset val="1"/>
      </rPr>
      <t xml:space="preserve">10/16 </t>
    </r>
    <r>
      <rPr>
        <sz val="11"/>
        <color theme="1"/>
        <rFont val="Noto Sans SC"/>
        <family val="2"/>
      </rPr>
      <t xml:space="preserve">判定线</t>
    </r>
  </si>
  <si>
    <r>
      <rPr>
        <sz val="11"/>
        <color theme="1"/>
        <rFont val="Noto Sans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</rPr>
      <t xml:space="preserve">周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</rPr>
      <t xml:space="preserve">收官</t>
    </r>
  </si>
  <si>
    <t xml:space="preserve">10/23–10/31</t>
  </si>
  <si>
    <r>
      <rPr>
        <sz val="11"/>
        <color theme="1"/>
        <rFont val="Calibri"/>
        <family val="2"/>
        <charset val="1"/>
      </rPr>
      <t xml:space="preserve">10/23 </t>
    </r>
    <r>
      <rPr>
        <sz val="11"/>
        <color theme="1"/>
        <rFont val="Noto Sans SC"/>
        <family val="2"/>
      </rPr>
      <t xml:space="preserve">判定线</t>
    </r>
  </si>
  <si>
    <t xml:space="preserve">原判定线的问题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</si>
  <si>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SC"/>
        <family val="2"/>
      </rPr>
      <t xml:space="preserve">文档 </t>
    </r>
    <r>
      <rPr>
        <sz val="11"/>
        <color theme="1"/>
        <rFont val="Calibri"/>
        <family val="2"/>
        <charset val="1"/>
      </rPr>
      <t xml:space="preserve">10/16 </t>
    </r>
    <r>
      <rPr>
        <sz val="11"/>
        <color theme="1"/>
        <rFont val="Noto Sans SC"/>
        <family val="2"/>
      </rPr>
      <t xml:space="preserve">判定线「单量 ≥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SC"/>
        <family val="2"/>
      </rPr>
      <t xml:space="preserve">」——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SC"/>
        <family val="2"/>
      </rPr>
      <t xml:space="preserve">单 </t>
    </r>
    <r>
      <rPr>
        <sz val="11"/>
        <color theme="1"/>
        <rFont val="Calibri"/>
        <family val="2"/>
        <charset val="1"/>
      </rPr>
      <t xml:space="preserve">× 25.9 </t>
    </r>
    <r>
      <rPr>
        <sz val="11"/>
        <color theme="1"/>
        <rFont val="Noto Sans SC"/>
        <family val="2"/>
      </rPr>
      <t xml:space="preserve">元 </t>
    </r>
    <r>
      <rPr>
        <sz val="11"/>
        <color theme="1"/>
        <rFont val="Calibri"/>
        <family val="2"/>
        <charset val="1"/>
      </rPr>
      <t xml:space="preserve">× 88% ≈ 1368 </t>
    </r>
    <r>
      <rPr>
        <sz val="11"/>
        <color theme="1"/>
        <rFont val="Noto Sans SC"/>
        <family val="2"/>
      </rPr>
      <t xml:space="preserve">元，只对应「净利约 </t>
    </r>
    <r>
      <rPr>
        <sz val="11"/>
        <color theme="1"/>
        <rFont val="Calibri"/>
        <family val="2"/>
        <charset val="1"/>
      </rPr>
      <t xml:space="preserve">1400 </t>
    </r>
    <r>
      <rPr>
        <sz val="11"/>
        <color theme="1"/>
        <rFont val="Noto Sans SC"/>
        <family val="2"/>
      </rPr>
      <t xml:space="preserve">元」的档位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</si>
  <si>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SC"/>
        <family val="2"/>
      </rPr>
      <t xml:space="preserve">若按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SC"/>
        <family val="2"/>
      </rPr>
      <t xml:space="preserve">单放行，等于把目标默认降到 </t>
    </r>
    <r>
      <rPr>
        <sz val="11"/>
        <color theme="1"/>
        <rFont val="Calibri"/>
        <family val="2"/>
        <charset val="1"/>
      </rPr>
      <t xml:space="preserve">1400 </t>
    </r>
    <r>
      <rPr>
        <sz val="11"/>
        <color theme="1"/>
        <rFont val="Noto Sans SC"/>
        <family val="2"/>
      </rPr>
      <t xml:space="preserve">元，却仍按 </t>
    </r>
    <r>
      <rPr>
        <sz val="11"/>
        <color theme="1"/>
        <rFont val="Calibri"/>
        <family val="2"/>
        <charset val="1"/>
      </rPr>
      <t xml:space="preserve">5000 </t>
    </r>
    <r>
      <rPr>
        <sz val="11"/>
        <color theme="1"/>
        <rFont val="Noto Sans SC"/>
        <family val="2"/>
      </rPr>
      <t xml:space="preserve">元的节奏分配资源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</si>
  <si>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SC"/>
        <family val="2"/>
      </rPr>
      <t xml:space="preserve">建议判定线：</t>
    </r>
    <r>
      <rPr>
        <sz val="11"/>
        <color theme="1"/>
        <rFont val="Calibri"/>
        <family val="2"/>
        <charset val="1"/>
      </rPr>
      <t xml:space="preserve">10/16 </t>
    </r>
    <r>
      <rPr>
        <sz val="11"/>
        <color theme="1"/>
        <rFont val="Noto Sans SC"/>
        <family val="2"/>
      </rPr>
      <t xml:space="preserve">累计 ≥ 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Noto Sans SC"/>
        <family val="2"/>
      </rPr>
      <t xml:space="preserve">单且客单 ≥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10/23 </t>
    </r>
    <r>
      <rPr>
        <sz val="11"/>
        <color theme="1"/>
        <rFont val="Noto Sans SC"/>
        <family val="2"/>
      </rPr>
      <t xml:space="preserve">累计 ≥ </t>
    </r>
    <r>
      <rPr>
        <sz val="11"/>
        <color theme="1"/>
        <rFont val="Calibri"/>
        <family val="2"/>
        <charset val="1"/>
      </rPr>
      <t xml:space="preserve">157 </t>
    </r>
    <r>
      <rPr>
        <sz val="11"/>
        <color theme="1"/>
        <rFont val="Noto Sans SC"/>
        <family val="2"/>
      </rPr>
      <t xml:space="preserve">单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</si>
  <si>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SC"/>
        <family val="2"/>
      </rPr>
      <t xml:space="preserve">目标分层建议：保底 </t>
    </r>
    <r>
      <rPr>
        <sz val="11"/>
        <color theme="1"/>
        <rFont val="Calibri"/>
        <family val="2"/>
        <charset val="1"/>
      </rPr>
      <t xml:space="preserve">1200 </t>
    </r>
    <r>
      <rPr>
        <sz val="11"/>
        <color theme="1"/>
        <rFont val="Noto Sans SC"/>
        <family val="2"/>
      </rPr>
      <t xml:space="preserve">元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目标 </t>
    </r>
    <r>
      <rPr>
        <sz val="11"/>
        <color theme="1"/>
        <rFont val="Calibri"/>
        <family val="2"/>
        <charset val="1"/>
      </rPr>
      <t xml:space="preserve">2500 </t>
    </r>
    <r>
      <rPr>
        <sz val="11"/>
        <color theme="1"/>
        <rFont val="Noto Sans SC"/>
        <family val="2"/>
      </rPr>
      <t xml:space="preserve">元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</rPr>
      <t xml:space="preserve">挑战 </t>
    </r>
    <r>
      <rPr>
        <sz val="11"/>
        <color theme="1"/>
        <rFont val="Calibri"/>
        <family val="2"/>
        <charset val="1"/>
      </rPr>
      <t xml:space="preserve">5000 </t>
    </r>
    <r>
      <rPr>
        <sz val="11"/>
        <color theme="1"/>
        <rFont val="Noto Sans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</si>
  <si>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SC"/>
        <family val="2"/>
      </rPr>
      <t xml:space="preserve">末行累计净利约 </t>
    </r>
    <r>
      <rPr>
        <sz val="11"/>
        <color theme="1"/>
        <rFont val="Calibri"/>
        <family val="2"/>
        <charset val="1"/>
      </rPr>
      <t xml:space="preserve">5242 </t>
    </r>
    <r>
      <rPr>
        <sz val="11"/>
        <color theme="1"/>
        <rFont val="Noto Sans SC"/>
        <family val="2"/>
      </rPr>
      <t xml:space="preserve">元，略高于目标：因阶段单量四舍五入（</t>
    </r>
    <r>
      <rPr>
        <sz val="11"/>
        <color theme="1"/>
        <rFont val="Calibri"/>
        <family val="2"/>
        <charset val="1"/>
      </rPr>
      <t xml:space="preserve">70/70/90 = 230 </t>
    </r>
    <r>
      <rPr>
        <sz val="11"/>
        <color theme="1"/>
        <rFont val="Noto Sans SC"/>
        <family val="2"/>
      </rPr>
      <t xml:space="preserve">单，非恰好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SC"/>
        <family val="2"/>
      </rPr>
      <t xml:space="preserve">单），属取整残差，不是计算错误</t>
    </r>
  </si>
  <si>
    <t xml:space="preserve">与旧文档口径的逐项修正对照</t>
  </si>
  <si>
    <t xml:space="preserve">项目</t>
  </si>
  <si>
    <t xml:space="preserve">旧文档口径</t>
  </si>
  <si>
    <t xml:space="preserve">修正口径</t>
  </si>
  <si>
    <t xml:space="preserve">方向</t>
  </si>
  <si>
    <t xml:space="preserve">依据</t>
  </si>
  <si>
    <t xml:space="preserve">平台扣点</t>
  </si>
  <si>
    <t xml:space="preserve">5%</t>
  </si>
  <si>
    <r>
      <rPr>
        <sz val="11"/>
        <color theme="1"/>
        <rFont val="Calibri"/>
        <family val="2"/>
        <charset val="1"/>
      </rPr>
      <t xml:space="preserve">0.6%–2%</t>
    </r>
    <r>
      <rPr>
        <sz val="11"/>
        <color theme="1"/>
        <rFont val="Noto Sans SC"/>
        <family val="2"/>
      </rPr>
      <t xml:space="preserve">（当前免佣期 </t>
    </r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SC"/>
        <family val="2"/>
      </rPr>
      <t xml:space="preserve">）</t>
    </r>
  </si>
  <si>
    <t xml:space="preserve">利好</t>
  </si>
  <si>
    <r>
      <rPr>
        <sz val="11"/>
        <color theme="1"/>
        <rFont val="Noto Sans SC"/>
        <family val="2"/>
      </rPr>
      <t xml:space="preserve">虚拟商品常规服务费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SC"/>
        <family val="2"/>
      </rPr>
      <t xml:space="preserve">；百万免佣计划前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SC"/>
        <family val="2"/>
      </rPr>
      <t xml:space="preserve">万交易额仅 </t>
    </r>
    <r>
      <rPr>
        <sz val="11"/>
        <color theme="1"/>
        <rFont val="Calibri"/>
        <family val="2"/>
        <charset val="1"/>
      </rPr>
      <t xml:space="preserve">0.6% </t>
    </r>
    <r>
      <rPr>
        <sz val="11"/>
        <color theme="1"/>
        <rFont val="Noto Sans SC"/>
        <family val="2"/>
      </rPr>
      <t xml:space="preserve">支付成本</t>
    </r>
  </si>
  <si>
    <t xml:space="preserve">退款损耗</t>
  </si>
  <si>
    <r>
      <rPr>
        <sz val="11"/>
        <color theme="1"/>
        <rFont val="Calibri"/>
        <family val="2"/>
        <charset val="1"/>
      </rPr>
      <t xml:space="preserve">8%–12%</t>
    </r>
    <r>
      <rPr>
        <sz val="11"/>
        <color theme="1"/>
        <rFont val="Noto Sans SC"/>
        <family val="2"/>
      </rPr>
      <t xml:space="preserve">（推荐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SC"/>
        <family val="2"/>
      </rPr>
      <t xml:space="preserve">）</t>
    </r>
  </si>
  <si>
    <t xml:space="preserve">利空</t>
  </si>
  <si>
    <t xml:space="preserve">虚拟商品退款争议普遍；退款致店铺分下降会连累流量</t>
  </si>
  <si>
    <t xml:space="preserve">客单假设</t>
  </si>
  <si>
    <r>
      <rPr>
        <sz val="11"/>
        <color theme="1"/>
        <rFont val="Noto Sans SC"/>
        <family val="2"/>
      </rPr>
      <t xml:space="preserve">只给标价 </t>
    </r>
    <r>
      <rPr>
        <sz val="11"/>
        <color theme="1"/>
        <rFont val="Calibri"/>
        <family val="2"/>
        <charset val="1"/>
      </rPr>
      <t xml:space="preserve">25.9</t>
    </r>
  </si>
  <si>
    <r>
      <rPr>
        <sz val="11"/>
        <color theme="1"/>
        <rFont val="Noto Sans SC"/>
        <family val="2"/>
      </rPr>
      <t xml:space="preserve">同时给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SC"/>
        <family val="2"/>
      </rPr>
      <t xml:space="preserve">元混卖实际客单</t>
    </r>
  </si>
  <si>
    <r>
      <rPr>
        <sz val="11"/>
        <color theme="1"/>
        <rFont val="Noto Sans SC"/>
        <family val="2"/>
      </rPr>
      <t xml:space="preserve">文档自述「现状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9.9+19.9 </t>
    </r>
    <r>
      <rPr>
        <sz val="11"/>
        <color theme="1"/>
        <rFont val="Noto Sans SC"/>
        <family val="2"/>
      </rPr>
      <t xml:space="preserve">混卖）」</t>
    </r>
  </si>
  <si>
    <t xml:space="preserve">投流成本</t>
  </si>
  <si>
    <t xml:space="preserve">未计入</t>
  </si>
  <si>
    <r>
      <rPr>
        <sz val="11"/>
        <color theme="1"/>
        <rFont val="Calibri"/>
        <family val="2"/>
        <charset val="1"/>
      </rPr>
      <t xml:space="preserve">CAC 40–100 </t>
    </r>
    <r>
      <rPr>
        <sz val="11"/>
        <color theme="1"/>
        <rFont val="Noto Sans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单（负毛利）</t>
    </r>
  </si>
  <si>
    <r>
      <rPr>
        <sz val="11"/>
        <color theme="1"/>
        <rFont val="Calibri"/>
        <family val="2"/>
        <charset val="1"/>
      </rPr>
      <t xml:space="preserve">CPC 0.8–4 </t>
    </r>
    <r>
      <rPr>
        <sz val="11"/>
        <color theme="1"/>
        <rFont val="Noto Sans SC"/>
        <family val="2"/>
      </rPr>
      <t xml:space="preserve">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</rPr>
      <t xml:space="preserve">点击→下单 </t>
    </r>
    <r>
      <rPr>
        <sz val="11"/>
        <color theme="1"/>
        <rFont val="Calibri"/>
        <family val="2"/>
        <charset val="1"/>
      </rPr>
      <t xml:space="preserve">2–5%</t>
    </r>
  </si>
  <si>
    <t xml:space="preserve">投流工具</t>
  </si>
  <si>
    <t xml:space="preserve">薯条（商品成交目标）</t>
  </si>
  <si>
    <r>
      <rPr>
        <sz val="11"/>
        <color theme="1"/>
        <rFont val="Noto Sans SC"/>
        <family val="2"/>
      </rPr>
      <t xml:space="preserve">薯条无商品组件；聚光起充 </t>
    </r>
    <r>
      <rPr>
        <sz val="11"/>
        <color theme="1"/>
        <rFont val="Calibri"/>
        <family val="2"/>
        <charset val="1"/>
      </rPr>
      <t xml:space="preserve">5000 </t>
    </r>
    <r>
      <rPr>
        <sz val="11"/>
        <color theme="1"/>
        <rFont val="Noto Sans SC"/>
        <family val="2"/>
      </rPr>
      <t xml:space="preserve">元</t>
    </r>
  </si>
  <si>
    <t xml:space="preserve">薯条仅三种推广目标；聚光需企业号</t>
  </si>
  <si>
    <r>
      <rPr>
        <sz val="11"/>
        <color theme="1"/>
        <rFont val="Noto Sans SC"/>
        <family val="2"/>
      </rPr>
      <t xml:space="preserve">单量 ≥ 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</si>
  <si>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Calibri"/>
        <family val="2"/>
        <charset val="1"/>
      </rPr>
      <t xml:space="preserve">≥ 68 </t>
    </r>
    <r>
      <rPr>
        <sz val="11"/>
        <color theme="1"/>
        <rFont val="Noto Sans SC"/>
        <family val="2"/>
      </rPr>
      <t xml:space="preserve">单且客单 ≥ 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</si>
  <si>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SC"/>
        <family val="2"/>
      </rPr>
      <t xml:space="preserve">单仅对应约 </t>
    </r>
    <r>
      <rPr>
        <sz val="11"/>
        <color theme="1"/>
        <rFont val="Calibri"/>
        <family val="2"/>
        <charset val="1"/>
      </rPr>
      <t xml:space="preserve">1400 </t>
    </r>
    <r>
      <rPr>
        <sz val="11"/>
        <color theme="1"/>
        <rFont val="Noto Sans SC"/>
        <family val="2"/>
      </rPr>
      <t xml:space="preserve">元净利</t>
    </r>
  </si>
  <si>
    <r>
      <rPr>
        <sz val="11"/>
        <color theme="1"/>
        <rFont val="Noto Sans SC"/>
        <family val="2"/>
      </rPr>
      <t xml:space="preserve">净利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单（</t>
    </r>
    <r>
      <rPr>
        <sz val="11"/>
        <color theme="1"/>
        <rFont val="Calibri"/>
        <family val="2"/>
        <charset val="1"/>
      </rPr>
      <t xml:space="preserve">25.9 </t>
    </r>
    <r>
      <rPr>
        <sz val="11"/>
        <color theme="1"/>
        <rFont val="Noto Sans SC"/>
        <family val="2"/>
      </rPr>
      <t xml:space="preserve">元）</t>
    </r>
  </si>
  <si>
    <r>
      <rPr>
        <sz val="11"/>
        <color theme="1"/>
        <rFont val="Calibri"/>
        <family val="2"/>
        <charset val="1"/>
      </rPr>
      <t xml:space="preserve">23.3 </t>
    </r>
    <r>
      <rPr>
        <sz val="11"/>
        <color theme="1"/>
        <rFont val="Noto Sans SC"/>
        <family val="2"/>
      </rPr>
      <t xml:space="preserve">元（扣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</si>
  <si>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22.8 </t>
    </r>
    <r>
      <rPr>
        <sz val="11"/>
        <color theme="1"/>
        <rFont val="Noto Sans SC"/>
        <family val="2"/>
      </rPr>
      <t xml:space="preserve">元（扣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SC"/>
        <family val="2"/>
      </rPr>
      <t xml:space="preserve">）</t>
    </r>
  </si>
  <si>
    <t xml:space="preserve">基本持平</t>
  </si>
  <si>
    <t xml:space="preserve">两项修正方向相反，大体抵消</t>
  </si>
  <si>
    <t xml:space="preserve">核心结论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</si>
  <si>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SC"/>
        <family val="2"/>
      </rPr>
      <t xml:space="preserve">两项财务修正方向相反、大体抵消：净额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</rPr>
      <t xml:space="preserve">单仍约 </t>
    </r>
    <r>
      <rPr>
        <sz val="11"/>
        <color theme="1"/>
        <rFont val="Calibri"/>
        <family val="2"/>
        <charset val="1"/>
      </rPr>
      <t xml:space="preserve">22.8 </t>
    </r>
    <r>
      <rPr>
        <sz val="11"/>
        <color theme="1"/>
        <rFont val="Noto Sans SC"/>
        <family val="2"/>
      </rPr>
      <t xml:space="preserve">元，日均约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SC"/>
        <family val="2"/>
      </rPr>
      <t xml:space="preserve">单（</t>
    </r>
    <r>
      <rPr>
        <sz val="11"/>
        <color theme="1"/>
        <rFont val="Calibri"/>
        <family val="2"/>
        <charset val="1"/>
      </rPr>
      <t xml:space="preserve">25.9 </t>
    </r>
    <r>
      <rPr>
        <sz val="11"/>
        <color theme="1"/>
        <rFont val="Noto Sans SC"/>
        <family val="2"/>
      </rPr>
      <t xml:space="preserve">元客单）。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</si>
  <si>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SC"/>
        <family val="2"/>
      </rPr>
      <t xml:space="preserve">真正的风险不是费率，而是：① 真实客单可能只有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SC"/>
        <family val="2"/>
      </rPr>
      <t xml:space="preserve">元（日均需约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SC"/>
        <family val="2"/>
      </rPr>
      <t xml:space="preserve">单）；② 付费流量负毛利；③ 退款连累店铺分。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</si>
  <si>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SC"/>
        <family val="2"/>
      </rPr>
      <t xml:space="preserve">因此策略应为：提客单（做分层与组合）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SC"/>
        <family val="2"/>
      </rPr>
      <t xml:space="preserve">零成本流量（搜索关键词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SC"/>
        <family val="2"/>
      </rPr>
      <t xml:space="preserve">群聊）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SC"/>
        <family val="2"/>
      </rPr>
      <t xml:space="preserve">严控退款（交付说明前置）。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</si>
</sst>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"/>
    <numFmt numFmtId="168" formatCode="0%"/>
    <numFmt numFmtId="169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SC"/>
      <family val="2"/>
    </font>
    <font>
      <b val="true"/>
      <sz val="14"/>
      <name val="Cambria"/>
      <family val="0"/>
      <charset val="1"/>
    </font>
    <font>
      <i val="true"/>
      <sz val="9"/>
      <color rgb="FF808080"/>
      <name val="Noto Sans SC"/>
      <family val="2"/>
    </font>
    <font>
      <i val="true"/>
      <sz val="9"/>
      <color rgb="FF808080"/>
      <name val="Cambria"/>
      <family val="0"/>
      <charset val="1"/>
    </font>
    <font>
      <sz val="11"/>
      <color theme="1"/>
      <name val="Noto Sans SC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Noto Sans SC"/>
      <family val="2"/>
    </font>
    <font>
      <b val="true"/>
      <sz val="11"/>
      <color rgb="FFFFFFFF"/>
      <name val="Cambria"/>
      <family val="0"/>
      <charset val="1"/>
    </font>
    <font>
      <b val="true"/>
      <sz val="11"/>
      <name val="Noto Sans SC"/>
      <family val="2"/>
    </font>
    <font>
      <b val="true"/>
      <sz val="11"/>
      <color rgb="FFC00000"/>
      <name val="Noto Sans SC"/>
      <family val="2"/>
    </font>
    <font>
      <b val="true"/>
      <sz val="11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CE4D6"/>
        <bgColor rgb="FFE2EFDA"/>
      </patternFill>
    </fill>
    <fill>
      <patternFill patternType="solid">
        <fgColor rgb="FF2F5597"/>
        <bgColor rgb="FF666699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EFDA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5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7.15" hidden="false" customHeight="false" outlineLevel="0" collapsed="false">
      <c r="A4" s="3" t="s">
        <v>6</v>
      </c>
      <c r="B4" s="4" t="n">
        <v>5000</v>
      </c>
      <c r="C4" s="3" t="s">
        <v>7</v>
      </c>
      <c r="D4" s="3" t="s">
        <v>8</v>
      </c>
    </row>
    <row r="5" customFormat="false" ht="15" hidden="false" customHeight="false" outlineLevel="0" collapsed="false">
      <c r="A5" s="3" t="s">
        <v>9</v>
      </c>
      <c r="B5" s="5" t="n">
        <v>22</v>
      </c>
      <c r="C5" s="3" t="s">
        <v>10</v>
      </c>
      <c r="D5" s="0" t="s">
        <v>11</v>
      </c>
    </row>
    <row r="6" customFormat="false" ht="17.15" hidden="false" customHeight="false" outlineLevel="0" collapsed="false">
      <c r="A6" s="3" t="s">
        <v>12</v>
      </c>
      <c r="B6" s="5" t="n">
        <v>0.02</v>
      </c>
      <c r="C6" s="3" t="s">
        <v>13</v>
      </c>
      <c r="D6" s="3" t="s">
        <v>14</v>
      </c>
    </row>
    <row r="7" customFormat="false" ht="17.15" hidden="false" customHeight="false" outlineLevel="0" collapsed="false">
      <c r="A7" s="3" t="s">
        <v>15</v>
      </c>
      <c r="B7" s="5" t="n">
        <v>0.006</v>
      </c>
      <c r="C7" s="3" t="s">
        <v>13</v>
      </c>
      <c r="D7" s="0" t="s">
        <v>16</v>
      </c>
    </row>
    <row r="8" customFormat="false" ht="17.15" hidden="false" customHeight="false" outlineLevel="0" collapsed="false">
      <c r="A8" s="3" t="s">
        <v>17</v>
      </c>
      <c r="B8" s="5" t="n">
        <v>0.08</v>
      </c>
      <c r="C8" s="3" t="s">
        <v>13</v>
      </c>
      <c r="D8" s="3" t="s">
        <v>18</v>
      </c>
    </row>
    <row r="9" customFormat="false" ht="15" hidden="false" customHeight="false" outlineLevel="0" collapsed="false">
      <c r="A9" s="3" t="s">
        <v>19</v>
      </c>
      <c r="B9" s="6" t="n">
        <v>0.12</v>
      </c>
      <c r="C9" s="3" t="s">
        <v>13</v>
      </c>
      <c r="D9" s="3" t="s">
        <v>20</v>
      </c>
    </row>
    <row r="10" customFormat="false" ht="15" hidden="false" customHeight="false" outlineLevel="0" collapsed="false">
      <c r="A10" s="3" t="s">
        <v>21</v>
      </c>
      <c r="B10" s="0" t="n">
        <v>0.18</v>
      </c>
      <c r="C10" s="3" t="s">
        <v>13</v>
      </c>
      <c r="D10" s="3" t="s">
        <v>22</v>
      </c>
    </row>
    <row r="11" customFormat="false" ht="15" hidden="false" customHeight="false" outlineLevel="0" collapsed="false">
      <c r="A11" s="3" t="s">
        <v>23</v>
      </c>
      <c r="B11" s="0" t="s">
        <v>24</v>
      </c>
      <c r="C11" s="3" t="s">
        <v>25</v>
      </c>
      <c r="D11" s="3" t="s">
        <v>26</v>
      </c>
    </row>
    <row r="12" customFormat="false" ht="15" hidden="false" customHeight="false" outlineLevel="0" collapsed="false">
      <c r="A12" s="3" t="s">
        <v>27</v>
      </c>
      <c r="B12" s="0" t="s">
        <v>28</v>
      </c>
      <c r="C12" s="3" t="s">
        <v>25</v>
      </c>
      <c r="D12" s="3" t="s">
        <v>29</v>
      </c>
    </row>
    <row r="14" customFormat="false" ht="17.15" hidden="false" customHeight="false" outlineLevel="0" collapsed="false">
      <c r="A14" s="7" t="s">
        <v>30</v>
      </c>
      <c r="B14" s="7" t="s">
        <v>31</v>
      </c>
      <c r="C14" s="7" t="s">
        <v>32</v>
      </c>
      <c r="D14" s="7" t="s">
        <v>33</v>
      </c>
      <c r="E14" s="7" t="s">
        <v>34</v>
      </c>
    </row>
    <row r="15" customFormat="false" ht="15" hidden="false" customHeight="false" outlineLevel="0" collapsed="false">
      <c r="A15" s="3" t="s">
        <v>35</v>
      </c>
      <c r="B15" s="8" t="n">
        <v>9.9</v>
      </c>
      <c r="C15" s="9" t="n">
        <f aca="false">1-$B$9</f>
        <v>0.88</v>
      </c>
      <c r="D15" s="10" t="n">
        <f aca="false">B15*C15</f>
        <v>8.712</v>
      </c>
      <c r="E15" s="3" t="s">
        <v>36</v>
      </c>
    </row>
    <row r="16" customFormat="false" ht="15" hidden="false" customHeight="false" outlineLevel="0" collapsed="false">
      <c r="A16" s="3" t="s">
        <v>37</v>
      </c>
      <c r="B16" s="8" t="n">
        <v>19.9</v>
      </c>
      <c r="C16" s="9" t="n">
        <f aca="false">1-$B$9</f>
        <v>0.88</v>
      </c>
      <c r="D16" s="10" t="n">
        <f aca="false">B16*C16</f>
        <v>17.512</v>
      </c>
      <c r="E16" s="3" t="s">
        <v>38</v>
      </c>
    </row>
    <row r="17" customFormat="false" ht="15" hidden="false" customHeight="false" outlineLevel="0" collapsed="false">
      <c r="A17" s="3" t="s">
        <v>39</v>
      </c>
      <c r="B17" s="8" t="n">
        <v>25.9</v>
      </c>
      <c r="C17" s="9" t="n">
        <f aca="false">1-$B$9</f>
        <v>0.88</v>
      </c>
      <c r="D17" s="10" t="n">
        <f aca="false">B17*C17</f>
        <v>22.792</v>
      </c>
      <c r="E17" s="3" t="s">
        <v>40</v>
      </c>
    </row>
    <row r="18" customFormat="false" ht="17.15" hidden="false" customHeight="false" outlineLevel="0" collapsed="false">
      <c r="A18" s="3" t="s">
        <v>41</v>
      </c>
      <c r="B18" s="8" t="n">
        <v>29.9</v>
      </c>
      <c r="C18" s="9" t="n">
        <f aca="false">1-$B$9</f>
        <v>0.88</v>
      </c>
      <c r="D18" s="10" t="n">
        <f aca="false">B18*C18</f>
        <v>26.312</v>
      </c>
      <c r="E18" s="3" t="s">
        <v>42</v>
      </c>
    </row>
    <row r="19" customFormat="false" ht="15" hidden="false" customHeight="false" outlineLevel="0" collapsed="false">
      <c r="A19" s="3" t="s">
        <v>43</v>
      </c>
      <c r="B19" s="8" t="n">
        <v>599</v>
      </c>
      <c r="C19" s="9" t="n">
        <f aca="false">1-$B$9</f>
        <v>0.88</v>
      </c>
      <c r="D19" s="10" t="n">
        <f aca="false">B19*C19</f>
        <v>527.12</v>
      </c>
      <c r="E19" s="3" t="s">
        <v>44</v>
      </c>
    </row>
    <row r="21" customFormat="false" ht="15" hidden="false" customHeight="false" outlineLevel="0" collapsed="false">
      <c r="A21" s="11" t="s">
        <v>45</v>
      </c>
    </row>
    <row r="22" customFormat="false" ht="17.15" hidden="false" customHeight="false" outlineLevel="0" collapsed="false">
      <c r="A22" s="0" t="s">
        <v>46</v>
      </c>
    </row>
    <row r="23" customFormat="false" ht="17.15" hidden="false" customHeight="false" outlineLevel="0" collapsed="false">
      <c r="A23" s="0" t="s">
        <v>47</v>
      </c>
    </row>
    <row r="24" customFormat="false" ht="17.15" hidden="false" customHeight="false" outlineLevel="0" collapsed="false">
      <c r="A24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4"/>
  </cols>
  <sheetData>
    <row r="1" customFormat="false" ht="21.6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7.15" hidden="false" customHeight="false" outlineLevel="0" collapsed="false">
      <c r="A4" s="7" t="s">
        <v>30</v>
      </c>
      <c r="B4" s="7" t="s">
        <v>31</v>
      </c>
      <c r="C4" s="7" t="s">
        <v>33</v>
      </c>
      <c r="D4" s="7" t="s">
        <v>51</v>
      </c>
      <c r="E4" s="7" t="s">
        <v>52</v>
      </c>
      <c r="F4" s="7" t="s">
        <v>53</v>
      </c>
    </row>
    <row r="5" customFormat="false" ht="15" hidden="false" customHeight="false" outlineLevel="0" collapsed="false">
      <c r="A5" s="12" t="s">
        <v>35</v>
      </c>
      <c r="B5" s="13" t="n">
        <v>9.9</v>
      </c>
      <c r="C5" s="14" t="n">
        <f aca="false">B5*假设与口径!$C$15</f>
        <v>8.712</v>
      </c>
      <c r="D5" s="12" t="n">
        <f aca="false">IF(C5&lt;=0,"不可达",ROUNDUP(5000/C5,0))</f>
        <v>574</v>
      </c>
      <c r="E5" s="12" t="n">
        <f aca="false">IF(C5&lt;=0,"—",ROUND(D5/22,1))</f>
        <v>26.1</v>
      </c>
      <c r="F5" s="12" t="s">
        <v>36</v>
      </c>
    </row>
    <row r="6" customFormat="false" ht="15" hidden="false" customHeight="false" outlineLevel="0" collapsed="false">
      <c r="A6" s="12" t="s">
        <v>37</v>
      </c>
      <c r="B6" s="13" t="n">
        <v>19.9</v>
      </c>
      <c r="C6" s="14" t="n">
        <f aca="false">B6*假设与口径!$C$15</f>
        <v>17.512</v>
      </c>
      <c r="D6" s="12" t="n">
        <f aca="false">IF(C6&lt;=0,"不可达",ROUNDUP(5000/C6,0))</f>
        <v>286</v>
      </c>
      <c r="E6" s="12" t="n">
        <f aca="false">IF(C6&lt;=0,"—",ROUND(D6/22,1))</f>
        <v>13</v>
      </c>
      <c r="F6" s="12" t="s">
        <v>38</v>
      </c>
    </row>
    <row r="7" customFormat="false" ht="15" hidden="false" customHeight="false" outlineLevel="0" collapsed="false">
      <c r="A7" s="12" t="s">
        <v>39</v>
      </c>
      <c r="B7" s="13" t="n">
        <v>25.9</v>
      </c>
      <c r="C7" s="14" t="n">
        <f aca="false">B7*假设与口径!$C$15</f>
        <v>22.792</v>
      </c>
      <c r="D7" s="12" t="n">
        <f aca="false">IF(C7&lt;=0,"不可达",ROUNDUP(5000/C7,0))</f>
        <v>220</v>
      </c>
      <c r="E7" s="12" t="n">
        <f aca="false">IF(C7&lt;=0,"—",ROUND(D7/22,1))</f>
        <v>10</v>
      </c>
      <c r="F7" s="12" t="s">
        <v>40</v>
      </c>
    </row>
    <row r="8" customFormat="false" ht="17.15" hidden="false" customHeight="false" outlineLevel="0" collapsed="false">
      <c r="A8" s="12" t="s">
        <v>41</v>
      </c>
      <c r="B8" s="13" t="n">
        <v>29.9</v>
      </c>
      <c r="C8" s="14" t="n">
        <f aca="false">B8*假设与口径!$C$15</f>
        <v>26.312</v>
      </c>
      <c r="D8" s="12" t="n">
        <f aca="false">IF(C8&lt;=0,"不可达",ROUNDUP(5000/C8,0))</f>
        <v>191</v>
      </c>
      <c r="E8" s="12" t="n">
        <f aca="false">IF(C8&lt;=0,"—",ROUND(D8/22,1))</f>
        <v>8.7</v>
      </c>
      <c r="F8" s="12" t="s">
        <v>42</v>
      </c>
    </row>
    <row r="9" customFormat="false" ht="15" hidden="false" customHeight="false" outlineLevel="0" collapsed="false">
      <c r="A9" s="12" t="s">
        <v>43</v>
      </c>
      <c r="B9" s="13" t="n">
        <v>599</v>
      </c>
      <c r="C9" s="14" t="n">
        <f aca="false">B9*假设与口径!$C$15</f>
        <v>527.12</v>
      </c>
      <c r="D9" s="12" t="n">
        <f aca="false">IF(C9&lt;=0,"不可达",ROUNDUP(5000/C9,0))</f>
        <v>10</v>
      </c>
      <c r="E9" s="12" t="n">
        <f aca="false">IF(C9&lt;=0,"—",ROUND(D9/22,1))</f>
        <v>0.5</v>
      </c>
      <c r="F9" s="12" t="s">
        <v>44</v>
      </c>
    </row>
    <row r="10" customFormat="false" ht="17.15" hidden="false" customHeight="false" outlineLevel="0" collapsed="false">
      <c r="A10" s="11" t="s">
        <v>54</v>
      </c>
    </row>
    <row r="11" customFormat="false" ht="15" hidden="false" customHeight="false" outlineLevel="0" collapsed="false">
      <c r="A11" s="7" t="s">
        <v>55</v>
      </c>
      <c r="B11" s="7" t="s">
        <v>31</v>
      </c>
      <c r="C11" s="7" t="s">
        <v>56</v>
      </c>
      <c r="D11" s="7" t="s">
        <v>57</v>
      </c>
      <c r="E11" s="7" t="s">
        <v>58</v>
      </c>
      <c r="F11" s="7" t="s">
        <v>59</v>
      </c>
    </row>
    <row r="12" customFormat="false" ht="15" hidden="false" customHeight="false" outlineLevel="0" collapsed="false">
      <c r="A12" s="12" t="s">
        <v>60</v>
      </c>
      <c r="B12" s="13" t="n">
        <v>25.9</v>
      </c>
      <c r="C12" s="12" t="n">
        <v>214</v>
      </c>
      <c r="D12" s="12" t="n">
        <v>7.1</v>
      </c>
      <c r="E12" s="12" t="n">
        <f aca="false">ROUNDUP(5000/(B12*假设与口径!$C$15),0)</f>
        <v>220</v>
      </c>
      <c r="F12" s="12" t="n">
        <f aca="false">ROUND(E12/22,1)</f>
        <v>10</v>
      </c>
    </row>
    <row r="13" customFormat="false" ht="15" hidden="false" customHeight="false" outlineLevel="0" collapsed="false">
      <c r="A13" s="12" t="s">
        <v>61</v>
      </c>
      <c r="B13" s="13" t="n">
        <v>15</v>
      </c>
      <c r="C13" s="12" t="n">
        <v>370</v>
      </c>
      <c r="D13" s="12" t="n">
        <v>12.3</v>
      </c>
      <c r="E13" s="12" t="n">
        <f aca="false">ROUNDUP(5000/(B13*假设与口径!$C$15),0)</f>
        <v>379</v>
      </c>
      <c r="F13" s="12" t="n">
        <f aca="false">ROUND(E13/22,1)</f>
        <v>17.2</v>
      </c>
    </row>
    <row r="14" customFormat="false" ht="17.15" hidden="false" customHeight="false" outlineLevel="0" collapsed="false">
      <c r="A14" s="15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8" min="4" style="0" width="17"/>
    <col collapsed="false" customWidth="true" hidden="false" outlineLevel="0" max="9" min="9" style="0" width="26"/>
  </cols>
  <sheetData>
    <row r="1" customFormat="false" ht="21.6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7" t="s">
        <v>65</v>
      </c>
      <c r="B4" s="7" t="s">
        <v>3</v>
      </c>
      <c r="C4" s="7" t="s">
        <v>66</v>
      </c>
    </row>
    <row r="5" customFormat="false" ht="17.15" hidden="false" customHeight="false" outlineLevel="0" collapsed="false">
      <c r="A5" s="0" t="s">
        <v>67</v>
      </c>
      <c r="B5" s="8" t="n">
        <v>0.8</v>
      </c>
      <c r="C5" s="3" t="s">
        <v>68</v>
      </c>
    </row>
    <row r="6" customFormat="false" ht="17.15" hidden="false" customHeight="false" outlineLevel="0" collapsed="false">
      <c r="A6" s="0" t="s">
        <v>67</v>
      </c>
      <c r="B6" s="8" t="n">
        <v>4</v>
      </c>
      <c r="C6" s="3" t="s">
        <v>69</v>
      </c>
    </row>
    <row r="7" customFormat="false" ht="15" hidden="false" customHeight="false" outlineLevel="0" collapsed="false">
      <c r="A7" s="3" t="s">
        <v>70</v>
      </c>
      <c r="B7" s="9" t="n">
        <v>0.02</v>
      </c>
      <c r="C7" s="3" t="s">
        <v>71</v>
      </c>
    </row>
    <row r="8" customFormat="false" ht="15" hidden="false" customHeight="false" outlineLevel="0" collapsed="false">
      <c r="A8" s="3" t="s">
        <v>72</v>
      </c>
      <c r="B8" s="9" t="n">
        <v>0.05</v>
      </c>
      <c r="C8" s="3" t="s">
        <v>73</v>
      </c>
    </row>
    <row r="9" customFormat="false" ht="17.15" hidden="false" customHeight="false" outlineLevel="0" collapsed="false">
      <c r="A9" s="11" t="s">
        <v>74</v>
      </c>
    </row>
    <row r="10" customFormat="false" ht="32.8" hidden="false" customHeight="false" outlineLevel="0" collapsed="false">
      <c r="A10" s="16" t="s">
        <v>30</v>
      </c>
      <c r="B10" s="16" t="s">
        <v>31</v>
      </c>
      <c r="C10" s="16" t="s">
        <v>33</v>
      </c>
      <c r="D10" s="17" t="s">
        <v>75</v>
      </c>
      <c r="E10" s="16" t="s">
        <v>76</v>
      </c>
      <c r="F10" s="17" t="s">
        <v>77</v>
      </c>
      <c r="G10" s="16" t="s">
        <v>76</v>
      </c>
      <c r="H10" s="16" t="s">
        <v>78</v>
      </c>
      <c r="I10" s="16" t="s">
        <v>79</v>
      </c>
    </row>
    <row r="11" customFormat="false" ht="17.15" hidden="false" customHeight="false" outlineLevel="0" collapsed="false">
      <c r="A11" s="12" t="s">
        <v>35</v>
      </c>
      <c r="B11" s="13" t="n">
        <v>9.9</v>
      </c>
      <c r="C11" s="14" t="n">
        <f aca="false">B11*假设与口径!$C$15</f>
        <v>8.712</v>
      </c>
      <c r="D11" s="13" t="n">
        <f aca="false">$B$5/$B$8</f>
        <v>16</v>
      </c>
      <c r="E11" s="18" t="n">
        <f aca="false">C11-D11</f>
        <v>-7.288</v>
      </c>
      <c r="F11" s="13" t="n">
        <f aca="false">$B$6/$B$7</f>
        <v>200</v>
      </c>
      <c r="G11" s="18" t="n">
        <f aca="false">C11-F11</f>
        <v>-191.288</v>
      </c>
      <c r="H11" s="14" t="n">
        <f aca="false">C11</f>
        <v>8.712</v>
      </c>
      <c r="I11" s="12" t="str">
        <f aca="false">IF(E11&lt;0,"每投一单亏 "&amp;TEXT(-E11,"0")&amp;" 元","可投")</f>
        <v>每投一单亏 7 元</v>
      </c>
    </row>
    <row r="12" customFormat="false" ht="15" hidden="false" customHeight="false" outlineLevel="0" collapsed="false">
      <c r="A12" s="12" t="s">
        <v>37</v>
      </c>
      <c r="B12" s="13" t="n">
        <v>19.9</v>
      </c>
      <c r="C12" s="14" t="n">
        <f aca="false">B12*假设与口径!$C$15</f>
        <v>17.512</v>
      </c>
      <c r="D12" s="13" t="n">
        <f aca="false">$B$5/$B$8</f>
        <v>16</v>
      </c>
      <c r="E12" s="18" t="n">
        <f aca="false">C12-D12</f>
        <v>1.512</v>
      </c>
      <c r="F12" s="13" t="n">
        <f aca="false">$B$6/$B$7</f>
        <v>200</v>
      </c>
      <c r="G12" s="18" t="n">
        <f aca="false">C12-F12</f>
        <v>-182.488</v>
      </c>
      <c r="H12" s="14" t="n">
        <f aca="false">C12</f>
        <v>17.512</v>
      </c>
      <c r="I12" s="12" t="str">
        <f aca="false">IF(E12&lt;0,"每投一单亏 "&amp;TEXT(-E12,"0")&amp;" 元","可投")</f>
        <v>可投</v>
      </c>
    </row>
    <row r="13" customFormat="false" ht="15" hidden="false" customHeight="false" outlineLevel="0" collapsed="false">
      <c r="A13" s="12" t="s">
        <v>39</v>
      </c>
      <c r="B13" s="13" t="n">
        <v>25.9</v>
      </c>
      <c r="C13" s="14" t="n">
        <f aca="false">B13*假设与口径!$C$15</f>
        <v>22.792</v>
      </c>
      <c r="D13" s="13" t="n">
        <f aca="false">$B$5/$B$8</f>
        <v>16</v>
      </c>
      <c r="E13" s="18" t="n">
        <f aca="false">C13-D13</f>
        <v>6.792</v>
      </c>
      <c r="F13" s="13" t="n">
        <f aca="false">$B$6/$B$7</f>
        <v>200</v>
      </c>
      <c r="G13" s="18" t="n">
        <f aca="false">C13-F13</f>
        <v>-177.208</v>
      </c>
      <c r="H13" s="14" t="n">
        <f aca="false">C13</f>
        <v>22.792</v>
      </c>
      <c r="I13" s="12" t="str">
        <f aca="false">IF(E13&lt;0,"每投一单亏 "&amp;TEXT(-E13,"0")&amp;" 元","可投")</f>
        <v>可投</v>
      </c>
    </row>
    <row r="14" customFormat="false" ht="15" hidden="false" customHeight="false" outlineLevel="0" collapsed="false">
      <c r="A14" s="12" t="s">
        <v>41</v>
      </c>
      <c r="B14" s="13" t="n">
        <v>29.9</v>
      </c>
      <c r="C14" s="14" t="n">
        <f aca="false">B14*假设与口径!$C$15</f>
        <v>26.312</v>
      </c>
      <c r="D14" s="13" t="n">
        <f aca="false">$B$5/$B$8</f>
        <v>16</v>
      </c>
      <c r="E14" s="18" t="n">
        <f aca="false">C14-D14</f>
        <v>10.312</v>
      </c>
      <c r="F14" s="13" t="n">
        <f aca="false">$B$6/$B$7</f>
        <v>200</v>
      </c>
      <c r="G14" s="18" t="n">
        <f aca="false">C14-F14</f>
        <v>-173.688</v>
      </c>
      <c r="H14" s="14" t="n">
        <f aca="false">C14</f>
        <v>26.312</v>
      </c>
      <c r="I14" s="12" t="str">
        <f aca="false">IF(E14&lt;0,"每投一单亏 "&amp;TEXT(-E14,"0")&amp;" 元","可投")</f>
        <v>可投</v>
      </c>
    </row>
    <row r="15" customFormat="false" ht="15" hidden="false" customHeight="false" outlineLevel="0" collapsed="false">
      <c r="A15" s="12" t="s">
        <v>43</v>
      </c>
      <c r="B15" s="13" t="n">
        <v>599</v>
      </c>
      <c r="C15" s="14" t="n">
        <f aca="false">B15*假设与口径!$C$15</f>
        <v>527.12</v>
      </c>
      <c r="D15" s="13" t="n">
        <f aca="false">$B$5/$B$8</f>
        <v>16</v>
      </c>
      <c r="E15" s="14" t="n">
        <f aca="false">C15-D15</f>
        <v>511.12</v>
      </c>
      <c r="F15" s="13" t="n">
        <f aca="false">$B$6/$B$7</f>
        <v>200</v>
      </c>
      <c r="G15" s="14" t="n">
        <f aca="false">C15-F15</f>
        <v>327.12</v>
      </c>
      <c r="H15" s="14" t="n">
        <f aca="false">C15</f>
        <v>527.12</v>
      </c>
      <c r="I15" s="12" t="str">
        <f aca="false">IF(E15&lt;0,"每投一单亏 "&amp;TEXT(-E15,"0")&amp;" 元","可投")</f>
        <v>可投</v>
      </c>
    </row>
    <row r="17" customFormat="false" ht="15" hidden="false" customHeight="false" outlineLevel="0" collapsed="false">
      <c r="A17" s="11" t="s">
        <v>80</v>
      </c>
    </row>
    <row r="18" customFormat="false" ht="17.15" hidden="false" customHeight="false" outlineLevel="0" collapsed="false">
      <c r="A18" s="3" t="s">
        <v>81</v>
      </c>
    </row>
    <row r="20" customFormat="false" ht="17.15" hidden="false" customHeight="false" outlineLevel="0" collapsed="false">
      <c r="A20" s="0" t="str">
        <f aca="false">"① CPC = 4 元时，所需转化率 &gt; "&amp;TEXT(C27,"0.0%")&amp;"（公开资料中找不到支撑）"</f>
        <v>① CPC = 4 元时，所需转化率 &gt; 17.6%（公开资料中找不到支撑）</v>
      </c>
    </row>
    <row r="21" customFormat="false" ht="17.15" hidden="false" customHeight="false" outlineLevel="0" collapsed="false">
      <c r="A21" s="0" t="str">
        <f aca="false">"② 转化率 5% 时，可承受 CPC 上限约 "&amp;TEXT(C26,"0.00")&amp;" 元"</f>
        <v>② 转化率 5% 时，可承受 CPC 上限约 1.14 元</v>
      </c>
    </row>
    <row r="22" customFormat="false" ht="17.15" hidden="false" customHeight="false" outlineLevel="0" collapsed="false">
      <c r="A22" s="15" t="s">
        <v>82</v>
      </c>
    </row>
    <row r="24" customFormat="false" ht="15" hidden="false" customHeight="false" outlineLevel="0" collapsed="false">
      <c r="A24" s="19" t="s">
        <v>83</v>
      </c>
      <c r="B24" s="11" t="s">
        <v>84</v>
      </c>
      <c r="C24" s="8" t="n">
        <v>25.9</v>
      </c>
    </row>
    <row r="25" customFormat="false" ht="17.15" hidden="false" customHeight="false" outlineLevel="0" collapsed="false">
      <c r="B25" s="11" t="s">
        <v>85</v>
      </c>
      <c r="C25" s="10" t="n">
        <f aca="false">C24*假设与口径!$C$15</f>
        <v>22.792</v>
      </c>
    </row>
    <row r="26" customFormat="false" ht="17.15" hidden="false" customHeight="false" outlineLevel="0" collapsed="false">
      <c r="B26" s="20" t="s">
        <v>86</v>
      </c>
      <c r="C26" s="10" t="n">
        <f aca="false">C25*$B$8</f>
        <v>1.1396</v>
      </c>
    </row>
    <row r="27" customFormat="false" ht="17.15" hidden="false" customHeight="false" outlineLevel="0" collapsed="false">
      <c r="B27" s="20" t="s">
        <v>87</v>
      </c>
      <c r="C27" s="6" t="n">
        <f aca="false">$B$6/C25</f>
        <v>0.175500175500176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3"/>
  </cols>
  <sheetData>
    <row r="1" customFormat="false" ht="21.6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3" customFormat="false" ht="15" hidden="false" customHeight="false" outlineLevel="0" collapsed="false">
      <c r="A3" s="7" t="s">
        <v>52</v>
      </c>
      <c r="B3" s="21" t="n">
        <v>9.9</v>
      </c>
      <c r="C3" s="21" t="n">
        <v>15</v>
      </c>
      <c r="D3" s="21" t="n">
        <v>19.9</v>
      </c>
      <c r="E3" s="21" t="n">
        <v>25.9</v>
      </c>
      <c r="F3" s="21" t="n">
        <v>29.9</v>
      </c>
    </row>
    <row r="4" customFormat="false" ht="15" hidden="false" customHeight="false" outlineLevel="0" collapsed="false">
      <c r="A4" s="19" t="n">
        <v>3</v>
      </c>
      <c r="B4" s="22" t="n">
        <f aca="false">ROUND($A4*22*B$3*假设与口径!$C$15,0)</f>
        <v>575</v>
      </c>
      <c r="C4" s="22" t="n">
        <f aca="false">ROUND($A4*22*C$3*假设与口径!$C$15,0)</f>
        <v>871</v>
      </c>
      <c r="D4" s="22" t="n">
        <f aca="false">ROUND($A4*22*D$3*假设与口径!$C$15,0)</f>
        <v>1156</v>
      </c>
      <c r="E4" s="22" t="n">
        <f aca="false">ROUND($A4*22*E$3*假设与口径!$C$15,0)</f>
        <v>1504</v>
      </c>
      <c r="F4" s="22" t="n">
        <f aca="false">ROUND($A4*22*F$3*假设与口径!$C$15,0)</f>
        <v>1737</v>
      </c>
    </row>
    <row r="5" customFormat="false" ht="15" hidden="false" customHeight="false" outlineLevel="0" collapsed="false">
      <c r="A5" s="19" t="n">
        <v>5</v>
      </c>
      <c r="B5" s="22" t="n">
        <f aca="false">ROUND($A5*22*B$3*假设与口径!$C$15,0)</f>
        <v>958</v>
      </c>
      <c r="C5" s="22" t="n">
        <f aca="false">ROUND($A5*22*C$3*假设与口径!$C$15,0)</f>
        <v>1452</v>
      </c>
      <c r="D5" s="22" t="n">
        <f aca="false">ROUND($A5*22*D$3*假设与口径!$C$15,0)</f>
        <v>1926</v>
      </c>
      <c r="E5" s="22" t="n">
        <f aca="false">ROUND($A5*22*E$3*假设与口径!$C$15,0)</f>
        <v>2507</v>
      </c>
      <c r="F5" s="22" t="n">
        <f aca="false">ROUND($A5*22*F$3*假设与口径!$C$15,0)</f>
        <v>2894</v>
      </c>
    </row>
    <row r="6" customFormat="false" ht="15" hidden="false" customHeight="false" outlineLevel="0" collapsed="false">
      <c r="A6" s="19" t="n">
        <v>7</v>
      </c>
      <c r="B6" s="22" t="n">
        <f aca="false">ROUND($A6*22*B$3*假设与口径!$C$15,0)</f>
        <v>1342</v>
      </c>
      <c r="C6" s="22" t="n">
        <f aca="false">ROUND($A6*22*C$3*假设与口径!$C$15,0)</f>
        <v>2033</v>
      </c>
      <c r="D6" s="22" t="n">
        <f aca="false">ROUND($A6*22*D$3*假设与口径!$C$15,0)</f>
        <v>2697</v>
      </c>
      <c r="E6" s="22" t="n">
        <f aca="false">ROUND($A6*22*E$3*假设与口径!$C$15,0)</f>
        <v>3510</v>
      </c>
      <c r="F6" s="22" t="n">
        <f aca="false">ROUND($A6*22*F$3*假设与口径!$C$15,0)</f>
        <v>4052</v>
      </c>
    </row>
    <row r="7" customFormat="false" ht="15" hidden="false" customHeight="false" outlineLevel="0" collapsed="false">
      <c r="A7" s="19" t="n">
        <v>10</v>
      </c>
      <c r="B7" s="22" t="n">
        <f aca="false">ROUND($A7*22*B$3*假设与口径!$C$15,0)</f>
        <v>1917</v>
      </c>
      <c r="C7" s="22" t="n">
        <f aca="false">ROUND($A7*22*C$3*假设与口径!$C$15,0)</f>
        <v>2904</v>
      </c>
      <c r="D7" s="22" t="n">
        <f aca="false">ROUND($A7*22*D$3*假设与口径!$C$15,0)</f>
        <v>3853</v>
      </c>
      <c r="E7" s="22" t="n">
        <f aca="false">ROUND($A7*22*E$3*假设与口径!$C$15,0)</f>
        <v>5014</v>
      </c>
      <c r="F7" s="22" t="n">
        <f aca="false">ROUND($A7*22*F$3*假设与口径!$C$15,0)</f>
        <v>5789</v>
      </c>
    </row>
    <row r="8" customFormat="false" ht="15" hidden="false" customHeight="false" outlineLevel="0" collapsed="false">
      <c r="A8" s="19" t="n">
        <v>15</v>
      </c>
      <c r="B8" s="22" t="n">
        <f aca="false">ROUND($A8*22*B$3*假设与口径!$C$15,0)</f>
        <v>2875</v>
      </c>
      <c r="C8" s="22" t="n">
        <f aca="false">ROUND($A8*22*C$3*假设与口径!$C$15,0)</f>
        <v>4356</v>
      </c>
      <c r="D8" s="22" t="n">
        <f aca="false">ROUND($A8*22*D$3*假设与口径!$C$15,0)</f>
        <v>5779</v>
      </c>
      <c r="E8" s="22" t="n">
        <f aca="false">ROUND($A8*22*E$3*假设与口径!$C$15,0)</f>
        <v>7521</v>
      </c>
      <c r="F8" s="22" t="n">
        <f aca="false">ROUND($A8*22*F$3*假设与口径!$C$15,0)</f>
        <v>8683</v>
      </c>
    </row>
    <row r="9" customFormat="false" ht="15" hidden="false" customHeight="false" outlineLevel="0" collapsed="false">
      <c r="A9" s="19" t="n">
        <v>20</v>
      </c>
      <c r="B9" s="22" t="n">
        <f aca="false">ROUND($A9*22*B$3*假设与口径!$C$15,0)</f>
        <v>3833</v>
      </c>
      <c r="C9" s="22" t="n">
        <f aca="false">ROUND($A9*22*C$3*假设与口径!$C$15,0)</f>
        <v>5808</v>
      </c>
      <c r="D9" s="22" t="n">
        <f aca="false">ROUND($A9*22*D$3*假设与口径!$C$15,0)</f>
        <v>7705</v>
      </c>
      <c r="E9" s="22" t="n">
        <f aca="false">ROUND($A9*22*E$3*假设与口径!$C$15,0)</f>
        <v>10028</v>
      </c>
      <c r="F9" s="22" t="n">
        <f aca="false">ROUND($A9*22*F$3*假设与口径!$C$15,0)</f>
        <v>11577</v>
      </c>
    </row>
    <row r="10" customFormat="false" ht="15" hidden="false" customHeight="false" outlineLevel="0" collapsed="false">
      <c r="A10" s="19" t="n">
        <v>25</v>
      </c>
      <c r="B10" s="22" t="n">
        <f aca="false">ROUND($A10*22*B$3*假设与口径!$C$15,0)</f>
        <v>4792</v>
      </c>
      <c r="C10" s="22" t="n">
        <f aca="false">ROUND($A10*22*C$3*假设与口径!$C$15,0)</f>
        <v>7260</v>
      </c>
      <c r="D10" s="22" t="n">
        <f aca="false">ROUND($A10*22*D$3*假设与口径!$C$15,0)</f>
        <v>9632</v>
      </c>
      <c r="E10" s="22" t="n">
        <f aca="false">ROUND($A10*22*E$3*假设与口径!$C$15,0)</f>
        <v>12536</v>
      </c>
      <c r="F10" s="22" t="n">
        <f aca="false">ROUND($A10*22*F$3*假设与口径!$C$15,0)</f>
        <v>14472</v>
      </c>
    </row>
    <row r="12" customFormat="false" ht="15" hidden="false" customHeight="false" outlineLevel="0" collapsed="false">
      <c r="A12" s="11" t="s">
        <v>34</v>
      </c>
    </row>
    <row r="13" customFormat="false" ht="17.15" hidden="false" customHeight="false" outlineLevel="0" collapsed="false">
      <c r="A13" s="0" t="s">
        <v>90</v>
      </c>
    </row>
    <row r="14" customFormat="false" ht="17.15" hidden="false" customHeight="false" outlineLevel="0" collapsed="false">
      <c r="A14" s="0" t="s">
        <v>91</v>
      </c>
    </row>
    <row r="15" customFormat="false" ht="17.15" hidden="false" customHeight="false" outlineLevel="0" collapsed="false">
      <c r="A15" s="0" t="s">
        <v>92</v>
      </c>
    </row>
  </sheetData>
  <conditionalFormatting sqref="B4:F10">
    <cfRule type="cellIs" priority="2" operator="greaterThanOrEqual" aboveAverage="0" equalAverage="0" bottom="0" percent="0" rank="0" text="" dxfId="0">
      <formula>5000</formula>
    </cfRule>
    <cfRule type="cellIs" priority="3" operator="lessThan" aboveAverage="0" equalAverage="0" bottom="0" percent="0" rank="0" text="" dxfId="1">
      <formula>2500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7" min="5" style="0" width="15"/>
    <col collapsed="false" customWidth="true" hidden="false" outlineLevel="0" max="8" min="8" style="0" width="24"/>
    <col collapsed="false" customWidth="true" hidden="false" outlineLevel="0" max="9" min="9" style="0" width="15"/>
  </cols>
  <sheetData>
    <row r="1" customFormat="false" ht="21.6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7.15" hidden="false" customHeight="false" outlineLevel="0" collapsed="false">
      <c r="A4" s="16" t="s">
        <v>95</v>
      </c>
      <c r="B4" s="16" t="s">
        <v>96</v>
      </c>
      <c r="C4" s="16" t="s">
        <v>97</v>
      </c>
      <c r="D4" s="16" t="s">
        <v>98</v>
      </c>
      <c r="E4" s="16" t="s">
        <v>99</v>
      </c>
      <c r="F4" s="16" t="s">
        <v>100</v>
      </c>
      <c r="G4" s="16" t="s">
        <v>101</v>
      </c>
      <c r="H4" s="16" t="s">
        <v>102</v>
      </c>
      <c r="I4" s="16" t="s">
        <v>103</v>
      </c>
    </row>
    <row r="5" customFormat="false" ht="17.15" hidden="false" customHeight="false" outlineLevel="0" collapsed="false">
      <c r="A5" s="12" t="s">
        <v>104</v>
      </c>
      <c r="B5" s="23" t="s">
        <v>105</v>
      </c>
      <c r="C5" s="23" t="n">
        <v>7</v>
      </c>
      <c r="D5" s="12" t="s">
        <v>106</v>
      </c>
      <c r="E5" s="23" t="n">
        <v>70</v>
      </c>
      <c r="F5" s="23" t="n">
        <v>70</v>
      </c>
      <c r="G5" s="24" t="n">
        <f aca="false">ROUND(F5*25.9*假设与口径!$C$15,0)</f>
        <v>1595</v>
      </c>
      <c r="H5" s="23" t="s">
        <v>107</v>
      </c>
      <c r="I5" s="12" t="s">
        <v>108</v>
      </c>
    </row>
    <row r="6" customFormat="false" ht="17.15" hidden="false" customHeight="false" outlineLevel="0" collapsed="false">
      <c r="A6" s="12" t="s">
        <v>109</v>
      </c>
      <c r="B6" s="23" t="s">
        <v>110</v>
      </c>
      <c r="C6" s="23" t="n">
        <v>7</v>
      </c>
      <c r="D6" s="12" t="s">
        <v>106</v>
      </c>
      <c r="E6" s="23" t="n">
        <v>70</v>
      </c>
      <c r="F6" s="23" t="n">
        <v>140</v>
      </c>
      <c r="G6" s="24" t="n">
        <f aca="false">ROUND(F6*25.9*假设与口径!$C$15,0)</f>
        <v>3191</v>
      </c>
      <c r="H6" s="23" t="s">
        <v>111</v>
      </c>
      <c r="I6" s="12" t="s">
        <v>108</v>
      </c>
    </row>
    <row r="7" customFormat="false" ht="17.15" hidden="false" customHeight="false" outlineLevel="0" collapsed="false">
      <c r="A7" s="12" t="s">
        <v>112</v>
      </c>
      <c r="B7" s="23" t="s">
        <v>113</v>
      </c>
      <c r="C7" s="23" t="n">
        <v>9</v>
      </c>
      <c r="D7" s="12" t="s">
        <v>106</v>
      </c>
      <c r="E7" s="23" t="n">
        <v>90</v>
      </c>
      <c r="F7" s="23" t="n">
        <v>230</v>
      </c>
      <c r="G7" s="24" t="n">
        <f aca="false">ROUND(F7*25.9*假设与口径!$C$15,0)</f>
        <v>5242</v>
      </c>
      <c r="H7" s="23" t="s">
        <v>114</v>
      </c>
      <c r="I7" s="12" t="s">
        <v>108</v>
      </c>
    </row>
    <row r="9" customFormat="false" ht="15" hidden="false" customHeight="false" outlineLevel="0" collapsed="false">
      <c r="A9" s="11" t="s">
        <v>115</v>
      </c>
    </row>
    <row r="10" customFormat="false" ht="17.15" hidden="false" customHeight="false" outlineLevel="0" collapsed="false">
      <c r="A10" s="0" t="s">
        <v>116</v>
      </c>
    </row>
    <row r="11" customFormat="false" ht="17.15" hidden="false" customHeight="false" outlineLevel="0" collapsed="false">
      <c r="A11" s="0" t="s">
        <v>117</v>
      </c>
    </row>
    <row r="12" customFormat="false" ht="17.15" hidden="false" customHeight="false" outlineLevel="0" collapsed="false">
      <c r="A12" s="0" t="s">
        <v>118</v>
      </c>
    </row>
    <row r="13" customFormat="false" ht="17.15" hidden="false" customHeight="false" outlineLevel="0" collapsed="false">
      <c r="A13" s="0" t="s">
        <v>119</v>
      </c>
    </row>
    <row r="14" customFormat="false" ht="17.15" hidden="false" customHeight="false" outlineLevel="0" collapsed="false">
      <c r="A14" s="0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121</v>
      </c>
    </row>
    <row r="3" customFormat="false" ht="15" hidden="false" customHeight="false" outlineLevel="0" collapsed="false">
      <c r="A3" s="7" t="s">
        <v>122</v>
      </c>
      <c r="B3" s="7" t="s">
        <v>123</v>
      </c>
      <c r="C3" s="7" t="s">
        <v>124</v>
      </c>
      <c r="D3" s="7" t="s">
        <v>125</v>
      </c>
      <c r="E3" s="7" t="s">
        <v>126</v>
      </c>
    </row>
    <row r="4" customFormat="false" ht="32.8" hidden="false" customHeight="false" outlineLevel="0" collapsed="false">
      <c r="A4" s="25" t="s">
        <v>127</v>
      </c>
      <c r="B4" s="26" t="s">
        <v>128</v>
      </c>
      <c r="C4" s="26" t="s">
        <v>129</v>
      </c>
      <c r="D4" s="27" t="s">
        <v>130</v>
      </c>
      <c r="E4" s="25" t="s">
        <v>131</v>
      </c>
    </row>
    <row r="5" customFormat="false" ht="17.15" hidden="false" customHeight="false" outlineLevel="0" collapsed="false">
      <c r="A5" s="25" t="s">
        <v>132</v>
      </c>
      <c r="B5" s="26" t="s">
        <v>128</v>
      </c>
      <c r="C5" s="26" t="s">
        <v>133</v>
      </c>
      <c r="D5" s="27" t="s">
        <v>134</v>
      </c>
      <c r="E5" s="25" t="s">
        <v>135</v>
      </c>
    </row>
    <row r="6" customFormat="false" ht="17.15" hidden="false" customHeight="false" outlineLevel="0" collapsed="false">
      <c r="A6" s="25" t="s">
        <v>136</v>
      </c>
      <c r="B6" s="25" t="s">
        <v>137</v>
      </c>
      <c r="C6" s="25" t="s">
        <v>138</v>
      </c>
      <c r="D6" s="27" t="s">
        <v>134</v>
      </c>
      <c r="E6" s="25" t="s">
        <v>139</v>
      </c>
    </row>
    <row r="7" customFormat="false" ht="17.15" hidden="false" customHeight="false" outlineLevel="0" collapsed="false">
      <c r="A7" s="25" t="s">
        <v>140</v>
      </c>
      <c r="B7" s="25" t="s">
        <v>141</v>
      </c>
      <c r="C7" s="26" t="s">
        <v>142</v>
      </c>
      <c r="D7" s="27" t="s">
        <v>134</v>
      </c>
      <c r="E7" s="26" t="s">
        <v>143</v>
      </c>
    </row>
    <row r="8" customFormat="false" ht="32.8" hidden="false" customHeight="false" outlineLevel="0" collapsed="false">
      <c r="A8" s="25" t="s">
        <v>144</v>
      </c>
      <c r="B8" s="25" t="s">
        <v>145</v>
      </c>
      <c r="C8" s="25" t="s">
        <v>146</v>
      </c>
      <c r="D8" s="27" t="s">
        <v>134</v>
      </c>
      <c r="E8" s="25" t="s">
        <v>147</v>
      </c>
    </row>
    <row r="9" customFormat="false" ht="17.15" hidden="false" customHeight="false" outlineLevel="0" collapsed="false">
      <c r="A9" s="26" t="s">
        <v>111</v>
      </c>
      <c r="B9" s="25" t="s">
        <v>148</v>
      </c>
      <c r="C9" s="26" t="s">
        <v>149</v>
      </c>
      <c r="D9" s="27" t="s">
        <v>134</v>
      </c>
      <c r="E9" s="26" t="s">
        <v>150</v>
      </c>
    </row>
    <row r="10" customFormat="false" ht="32.8" hidden="false" customHeight="false" outlineLevel="0" collapsed="false">
      <c r="A10" s="25" t="s">
        <v>151</v>
      </c>
      <c r="B10" s="26" t="s">
        <v>152</v>
      </c>
      <c r="C10" s="26" t="s">
        <v>153</v>
      </c>
      <c r="D10" s="27" t="s">
        <v>154</v>
      </c>
      <c r="E10" s="25" t="s">
        <v>155</v>
      </c>
    </row>
    <row r="12" customFormat="false" ht="15" hidden="false" customHeight="false" outlineLevel="0" collapsed="false">
      <c r="A12" s="11" t="s">
        <v>156</v>
      </c>
    </row>
    <row r="13" customFormat="false" ht="17.15" hidden="false" customHeight="false" outlineLevel="0" collapsed="false">
      <c r="A13" s="0" t="s">
        <v>157</v>
      </c>
    </row>
    <row r="14" customFormat="false" ht="17.15" hidden="false" customHeight="false" outlineLevel="0" collapsed="false">
      <c r="A14" s="0" t="s">
        <v>158</v>
      </c>
    </row>
    <row r="15" customFormat="false" ht="17.15" hidden="false" customHeight="false" outlineLevel="0" collapsed="false">
      <c r="A15" s="0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2026-10-08T20:38:06Z</dcterms:created>
  <dc:creator>openpyxl</dc:creator>
  <dc:description/>
  <dc:language>en-US</dc:language>
  <cp:lastModifiedBy/>
  <dcterms:modified xsi:type="dcterms:W3CDTF">2026-10-08T20:38:06Z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