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假设" sheetId="1" state="visible" r:id="rId3"/>
    <sheet name="目标换算" sheetId="2" state="visible" r:id="rId4"/>
    <sheet name="混合客单" sheetId="3" state="visible" r:id="rId5"/>
    <sheet name="投流可行性" sheetId="4" state="visible" r:id="rId6"/>
    <sheet name="三个月路线图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<sst xmlns="http://schemas.openxmlformats.org/spreadsheetml/2006/main" count="138" uniqueCount="124">
  <si>
    <t xml:space="preserve">假设与口径（唯一参数源）</t>
  </si>
  <si>
    <t xml:space="preserve">淡橙色为可调参数。修改后全表自动重算。</t>
  </si>
  <si>
    <t xml:space="preserve">参数</t>
  </si>
  <si>
    <t xml:space="preserve">值</t>
  </si>
  <si>
    <t xml:space="preserve">单位</t>
  </si>
  <si>
    <t xml:space="preserve">说明</t>
  </si>
  <si>
    <t xml:space="preserve">月净利目标</t>
  </si>
  <si>
    <t xml:space="preserve">元</t>
  </si>
  <si>
    <r>
      <rPr>
        <sz val="11"/>
        <color theme="1"/>
        <rFont val="Noto Sans SC"/>
        <family val="2"/>
      </rPr>
      <t xml:space="preserve">目标已更新：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</rPr>
      <t xml:space="preserve">个月内成型为月入 </t>
    </r>
    <r>
      <rPr>
        <sz val="11"/>
        <color theme="1"/>
        <rFont val="Calibri"/>
        <family val="2"/>
        <charset val="1"/>
      </rPr>
      <t xml:space="preserve">2W</t>
    </r>
  </si>
  <si>
    <t xml:space="preserve">到账率</t>
  </si>
  <si>
    <t xml:space="preserve">比例</t>
  </si>
  <si>
    <t xml:space="preserve">每月天数</t>
  </si>
  <si>
    <t xml:space="preserve">天</t>
  </si>
  <si>
    <t xml:space="preserve">平台服务费</t>
  </si>
  <si>
    <r>
      <rPr>
        <sz val="11"/>
        <color theme="1"/>
        <rFont val="Noto Sans SC"/>
        <family val="2"/>
      </rPr>
      <t xml:space="preserve">虚拟商品常规服务费；免佣期可低至 </t>
    </r>
    <r>
      <rPr>
        <sz val="11"/>
        <color theme="1"/>
        <rFont val="Calibri"/>
        <family val="2"/>
        <charset val="1"/>
      </rPr>
      <t xml:space="preserve">0.6%</t>
    </r>
  </si>
  <si>
    <t xml:space="preserve">退款损耗</t>
  </si>
  <si>
    <t xml:space="preserve">虚拟商品退款普遍；退款还会压制店铺分→流量</t>
  </si>
  <si>
    <r>
      <rPr>
        <sz val="11"/>
        <color theme="1"/>
        <rFont val="Noto Sans SC"/>
        <family val="2"/>
      </rPr>
      <t xml:space="preserve">投流保守 </t>
    </r>
    <r>
      <rPr>
        <sz val="11"/>
        <color theme="1"/>
        <rFont val="Calibri"/>
        <family val="2"/>
        <charset val="1"/>
      </rPr>
      <t xml:space="preserve">CAC</t>
    </r>
  </si>
  <si>
    <r>
      <rPr>
        <sz val="11"/>
        <color theme="1"/>
        <rFont val="Noto Sans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单</t>
    </r>
  </si>
  <si>
    <r>
      <rPr>
        <sz val="11"/>
        <color theme="1"/>
        <rFont val="Calibri"/>
        <family val="2"/>
        <charset val="1"/>
      </rPr>
      <t xml:space="preserve">CPC 0.8 </t>
    </r>
    <r>
      <rPr>
        <sz val="11"/>
        <color theme="1"/>
        <rFont val="Noto Sans SC"/>
        <family val="2"/>
      </rPr>
      <t xml:space="preserve">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</rPr>
      <t xml:space="preserve">点击→下单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</si>
  <si>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SC"/>
        <family val="2"/>
      </rPr>
      <t xml:space="preserve">投流乐观 </t>
    </r>
    <r>
      <rPr>
        <sz val="11"/>
        <color theme="1"/>
        <rFont val="Calibri"/>
        <family val="2"/>
        <charset val="1"/>
      </rPr>
      <t xml:space="preserve">CAC</t>
    </r>
  </si>
  <si>
    <r>
      <rPr>
        <sz val="11"/>
        <color theme="1"/>
        <rFont val="Calibri"/>
        <family val="2"/>
        <charset val="1"/>
      </rPr>
      <t xml:space="preserve">CPC 2 </t>
    </r>
    <r>
      <rPr>
        <sz val="11"/>
        <color theme="1"/>
        <rFont val="Noto Sans SC"/>
        <family val="2"/>
      </rPr>
      <t xml:space="preserve">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</rPr>
      <t xml:space="preserve">点击→下单 </t>
    </r>
    <r>
      <rPr>
        <sz val="11"/>
        <color theme="1"/>
        <rFont val="Calibri"/>
        <family val="2"/>
        <charset val="1"/>
      </rPr>
      <t xml:space="preserve">4%</t>
    </r>
  </si>
  <si>
    <t xml:space="preserve">付费单量占比</t>
  </si>
  <si>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SC"/>
        <family val="2"/>
      </rPr>
      <t xml:space="preserve">单量来自付费流量；其余靠内容自然流</t>
    </r>
  </si>
  <si>
    <t xml:space="preserve">自动结论（随参数变化）</t>
  </si>
  <si>
    <r>
      <rPr>
        <b val="true"/>
        <sz val="11"/>
        <rFont val="Noto Sans SC"/>
        <family val="2"/>
      </rPr>
      <t xml:space="preserve">达到 </t>
    </r>
    <r>
      <rPr>
        <b val="true"/>
        <sz val="11"/>
        <rFont val="Cambria"/>
        <family val="0"/>
        <charset val="1"/>
      </rPr>
      <t xml:space="preserve">2W </t>
    </r>
    <r>
      <rPr>
        <b val="true"/>
        <sz val="11"/>
        <rFont val="Noto Sans SC"/>
        <family val="2"/>
      </rPr>
      <t xml:space="preserve">需要的毛销售额</t>
    </r>
  </si>
  <si>
    <r>
      <rPr>
        <sz val="11"/>
        <color theme="1"/>
        <rFont val="Noto Sans SC"/>
        <family val="2"/>
      </rPr>
      <t xml:space="preserve">因为净额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SC"/>
        <family val="2"/>
      </rPr>
      <t xml:space="preserve">销售额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</rPr>
      <t xml:space="preserve">到账率，所以销售额必须放大</t>
    </r>
  </si>
  <si>
    <r>
      <rPr>
        <b val="true"/>
        <sz val="11"/>
        <rFont val="Noto Sans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99 </t>
    </r>
    <r>
      <rPr>
        <b val="true"/>
        <sz val="11"/>
        <rFont val="Noto Sans SC"/>
        <family val="2"/>
      </rPr>
      <t xml:space="preserve">元客单下需要的单数</t>
    </r>
  </si>
  <si>
    <r>
      <rPr>
        <b val="true"/>
        <sz val="11"/>
        <rFont val="Noto Sans SC"/>
        <family val="2"/>
      </rPr>
      <t xml:space="preserve">若 </t>
    </r>
    <r>
      <rPr>
        <b val="true"/>
        <sz val="11"/>
        <rFont val="Cambria"/>
        <family val="0"/>
        <charset val="1"/>
      </rPr>
      <t xml:space="preserve">40% </t>
    </r>
    <r>
      <rPr>
        <b val="true"/>
        <sz val="11"/>
        <rFont val="Noto Sans SC"/>
        <family val="2"/>
      </rPr>
      <t xml:space="preserve">单量靠投流（</t>
    </r>
    <r>
      <rPr>
        <b val="true"/>
        <sz val="11"/>
        <rFont val="Cambria"/>
        <family val="0"/>
        <charset val="1"/>
      </rPr>
      <t xml:space="preserve">CAC 35 </t>
    </r>
    <r>
      <rPr>
        <b val="true"/>
        <sz val="11"/>
        <rFont val="Noto Sans SC"/>
        <family val="2"/>
      </rPr>
      <t xml:space="preserve">元）</t>
    </r>
  </si>
  <si>
    <t xml:space="preserve">这笔钱必须从净利里出</t>
  </si>
  <si>
    <t xml:space="preserve">扣掉投流后实际净利</t>
  </si>
  <si>
    <r>
      <rPr>
        <sz val="11"/>
        <color theme="1"/>
        <rFont val="Noto Sans SC"/>
        <family val="2"/>
      </rPr>
      <t xml:space="preserve">低于 </t>
    </r>
    <r>
      <rPr>
        <sz val="11"/>
        <color theme="1"/>
        <rFont val="Calibri"/>
        <family val="2"/>
        <charset val="1"/>
      </rPr>
      <t xml:space="preserve">2W </t>
    </r>
    <r>
      <rPr>
        <sz val="11"/>
        <color theme="1"/>
        <rFont val="Noto Sans SC"/>
        <family val="2"/>
      </rPr>
      <t xml:space="preserve">的差额</t>
    </r>
  </si>
  <si>
    <t xml:space="preserve">结论</t>
  </si>
  <si>
    <t xml:space="preserve">这是本模型最重要的一条判断</t>
  </si>
  <si>
    <r>
      <rPr>
        <b val="true"/>
        <sz val="14"/>
        <rFont val="Noto Sans SC"/>
        <family val="2"/>
      </rPr>
      <t xml:space="preserve">月入 </t>
    </r>
    <r>
      <rPr>
        <b val="true"/>
        <sz val="14"/>
        <rFont val="Cambria"/>
        <family val="0"/>
        <charset val="1"/>
      </rPr>
      <t xml:space="preserve">2W</t>
    </r>
    <r>
      <rPr>
        <b val="true"/>
        <sz val="14"/>
        <rFont val="Noto Sans SC"/>
        <family val="2"/>
      </rPr>
      <t xml:space="preserve">：不同客单需要多少单？</t>
    </r>
  </si>
  <si>
    <r>
      <rPr>
        <sz val="9"/>
        <color rgb="FF808080"/>
        <rFont val="Noto Sans SC"/>
        <family val="2"/>
      </rPr>
      <t xml:space="preserve">这一张表解释了为什么必须提客单 —— 在 </t>
    </r>
    <r>
      <rPr>
        <sz val="9"/>
        <color rgb="FF808080"/>
        <rFont val="Cambria"/>
        <family val="0"/>
        <charset val="1"/>
      </rPr>
      <t xml:space="preserve">29.9 </t>
    </r>
    <r>
      <rPr>
        <sz val="9"/>
        <color rgb="FF808080"/>
        <rFont val="Noto Sans SC"/>
        <family val="2"/>
      </rPr>
      <t xml:space="preserve">元价格带上目标不成立。</t>
    </r>
  </si>
  <si>
    <t xml:space="preserve">客单档位</t>
  </si>
  <si>
    <t xml:space="preserve">客单价</t>
  </si>
  <si>
    <r>
      <rPr>
        <b val="true"/>
        <sz val="11"/>
        <color rgb="FFFFFFFF"/>
        <rFont val="Noto Sans SC"/>
        <family val="2"/>
      </rPr>
      <t xml:space="preserve">净额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单</t>
    </r>
  </si>
  <si>
    <r>
      <rPr>
        <b val="true"/>
        <sz val="11"/>
        <color rgb="FFFFFFFF"/>
        <rFont val="Noto Sans SC"/>
        <family val="2"/>
      </rPr>
      <t xml:space="preserve">需成交单数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月</t>
    </r>
  </si>
  <si>
    <t xml:space="preserve">日均单量</t>
  </si>
  <si>
    <t xml:space="preserve">付费单量</t>
  </si>
  <si>
    <r>
      <rPr>
        <b val="true"/>
        <sz val="11"/>
        <color rgb="FFFFFFFF"/>
        <rFont val="Noto Sans SC"/>
        <family val="2"/>
      </rPr>
      <t xml:space="preserve">投流支出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SC"/>
        <family val="2"/>
      </rPr>
      <t xml:space="preserve">取</t>
    </r>
    <r>
      <rPr>
        <b val="true"/>
        <sz val="11"/>
        <color rgb="FFFFFFFF"/>
        <rFont val="Cambria"/>
        <family val="0"/>
        <charset val="1"/>
      </rPr>
      <t xml:space="preserve">CAC</t>
    </r>
    <r>
      <rPr>
        <b val="true"/>
        <sz val="11"/>
        <color rgb="FFFFFFFF"/>
        <rFont val="Noto Sans SC"/>
        <family val="2"/>
      </rPr>
      <t xml:space="preserve">中值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</si>
  <si>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SC"/>
        <family val="2"/>
      </rPr>
      <t xml:space="preserve">净利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SC"/>
        <family val="2"/>
      </rPr>
      <t xml:space="preserve">扣投流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</si>
  <si>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是否达标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</si>
  <si>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</rPr>
      <t xml:space="preserve">单件资料</t>
    </r>
  </si>
  <si>
    <t xml:space="preserve">小组合</t>
  </si>
  <si>
    <t xml:space="preserve">全流程包（首批）</t>
  </si>
  <si>
    <t xml:space="preserve">全流程包（稳定）</t>
  </si>
  <si>
    <r>
      <rPr>
        <sz val="11"/>
        <color theme="1"/>
        <rFont val="Noto Sans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1v1 </t>
    </r>
    <r>
      <rPr>
        <sz val="11"/>
        <color theme="1"/>
        <rFont val="Noto Sans SC"/>
        <family val="2"/>
      </rPr>
      <t xml:space="preserve">服务</t>
    </r>
  </si>
  <si>
    <t xml:space="preserve">陪跑服务</t>
  </si>
  <si>
    <t xml:space="preserve">怎么读这张表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</si>
  <si>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SC"/>
        <family val="2"/>
      </rPr>
      <t xml:space="preserve">「日均单量」绿色 </t>
    </r>
    <r>
      <rPr>
        <sz val="11"/>
        <color theme="1"/>
        <rFont val="Calibri"/>
        <family val="2"/>
        <charset val="1"/>
      </rPr>
      <t xml:space="preserve">= 8 </t>
    </r>
    <r>
      <rPr>
        <sz val="11"/>
        <color theme="1"/>
        <rFont val="Noto Sans SC"/>
        <family val="2"/>
      </rPr>
      <t xml:space="preserve">单以内（可执行）；红色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SC"/>
        <family val="2"/>
      </rPr>
      <t xml:space="preserve">超过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SC"/>
        <family val="2"/>
      </rPr>
      <t xml:space="preserve">单（产能上做不到）</t>
    </r>
  </si>
  <si>
    <r>
      <rPr>
        <sz val="11"/>
        <color theme="1"/>
        <rFont val="Calibri"/>
        <family val="2"/>
        <charset val="1"/>
      </rPr>
      <t xml:space="preserve">2. 29.9 </t>
    </r>
    <r>
      <rPr>
        <sz val="11"/>
        <color theme="1"/>
        <rFont val="Noto Sans SC"/>
        <family val="2"/>
      </rPr>
      <t xml:space="preserve">元客单需要日均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SC"/>
        <family val="2"/>
      </rPr>
      <t xml:space="preserve">单 → 按已验证的 </t>
    </r>
    <r>
      <rPr>
        <sz val="11"/>
        <color theme="1"/>
        <rFont val="Calibri"/>
        <family val="2"/>
        <charset val="1"/>
      </rPr>
      <t xml:space="preserve">2000 </t>
    </r>
    <r>
      <rPr>
        <sz val="11"/>
        <color theme="1"/>
        <rFont val="Noto Sans SC"/>
        <family val="2"/>
      </rPr>
      <t xml:space="preserve">观看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篇折算，需每天发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SC"/>
        <family val="2"/>
      </rPr>
      <t xml:space="preserve">篇以上，不可能</t>
    </r>
  </si>
  <si>
    <r>
      <rPr>
        <sz val="11"/>
        <color theme="1"/>
        <rFont val="Calibri"/>
        <family val="2"/>
        <charset val="1"/>
      </rPr>
      <t xml:space="preserve">3. 99 </t>
    </r>
    <r>
      <rPr>
        <sz val="11"/>
        <color theme="1"/>
        <rFont val="Noto Sans SC"/>
        <family val="2"/>
      </rPr>
      <t xml:space="preserve">元以上客单，日均降到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SC"/>
        <family val="2"/>
      </rPr>
      <t xml:space="preserve">单以内 → 这才是能规划的目标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</si>
  <si>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SC"/>
        <family val="2"/>
      </rPr>
      <t xml:space="preserve">「净利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SC"/>
        <family val="2"/>
      </rPr>
      <t xml:space="preserve">扣投流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SC"/>
        <family val="2"/>
      </rPr>
      <t xml:space="preserve">」已扣除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SC"/>
        <family val="2"/>
      </rPr>
      <t xml:space="preserve">单量按 </t>
    </r>
    <r>
      <rPr>
        <sz val="11"/>
        <color theme="1"/>
        <rFont val="Calibri"/>
        <family val="2"/>
        <charset val="1"/>
      </rPr>
      <t xml:space="preserve">CAC </t>
    </r>
    <r>
      <rPr>
        <sz val="11"/>
        <color theme="1"/>
        <rFont val="Noto Sans SC"/>
        <family val="2"/>
      </rPr>
      <t xml:space="preserve">中值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SC"/>
        <family val="2"/>
      </rPr>
      <t xml:space="preserve">元计算的投流支出</t>
    </r>
  </si>
  <si>
    <r>
      <rPr>
        <b val="true"/>
        <sz val="14"/>
        <rFont val="Noto Sans SC"/>
        <family val="2"/>
      </rPr>
      <t xml:space="preserve">混合客单：现实中不会所有人都买 </t>
    </r>
    <r>
      <rPr>
        <b val="true"/>
        <sz val="14"/>
        <rFont val="Cambria"/>
        <family val="0"/>
        <charset val="1"/>
      </rPr>
      <t xml:space="preserve">99 </t>
    </r>
    <r>
      <rPr>
        <b val="true"/>
        <sz val="14"/>
        <rFont val="Noto Sans SC"/>
        <family val="2"/>
      </rPr>
      <t xml:space="preserve">元</t>
    </r>
  </si>
  <si>
    <t xml:space="preserve">调「成交占比」这一列，看混合客单和所需单量怎么变。</t>
  </si>
  <si>
    <t xml:space="preserve">层级</t>
  </si>
  <si>
    <t xml:space="preserve">成交占比</t>
  </si>
  <si>
    <t xml:space="preserve">加权贡献</t>
  </si>
  <si>
    <t xml:space="preserve">指标</t>
  </si>
  <si>
    <r>
      <rPr>
        <sz val="11"/>
        <color theme="1"/>
        <rFont val="Noto Sans SC"/>
        <family val="2"/>
      </rPr>
      <t xml:space="preserve">入门层（</t>
    </r>
    <r>
      <rPr>
        <sz val="11"/>
        <color theme="1"/>
        <rFont val="Calibri"/>
        <family val="2"/>
        <charset val="1"/>
      </rPr>
      <t xml:space="preserve">9.9–29.9</t>
    </r>
    <r>
      <rPr>
        <sz val="11"/>
        <color theme="1"/>
        <rFont val="Noto Sans SC"/>
        <family val="2"/>
      </rPr>
      <t xml:space="preserve">）</t>
    </r>
  </si>
  <si>
    <t xml:space="preserve">混合客单</t>
  </si>
  <si>
    <r>
      <rPr>
        <sz val="11"/>
        <color theme="1"/>
        <rFont val="Noto Sans SC"/>
        <family val="2"/>
      </rPr>
      <t xml:space="preserve">主力层（</t>
    </r>
    <r>
      <rPr>
        <sz val="11"/>
        <color theme="1"/>
        <rFont val="Calibri"/>
        <family val="2"/>
        <charset val="1"/>
      </rPr>
      <t xml:space="preserve">99–149</t>
    </r>
    <r>
      <rPr>
        <sz val="11"/>
        <color theme="1"/>
        <rFont val="Noto Sans SC"/>
        <family val="2"/>
      </rPr>
      <t xml:space="preserve">）</t>
    </r>
  </si>
  <si>
    <r>
      <rPr>
        <b val="true"/>
        <sz val="11"/>
        <rFont val="Noto Sans SC"/>
        <family val="2"/>
      </rPr>
      <t xml:space="preserve">净额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SC"/>
        <family val="2"/>
      </rPr>
      <t xml:space="preserve">单</t>
    </r>
  </si>
  <si>
    <r>
      <rPr>
        <sz val="11"/>
        <color theme="1"/>
        <rFont val="Noto Sans SC"/>
        <family val="2"/>
      </rPr>
      <t xml:space="preserve">高客单层（</t>
    </r>
    <r>
      <rPr>
        <sz val="11"/>
        <color theme="1"/>
        <rFont val="Calibri"/>
        <family val="2"/>
        <charset val="1"/>
      </rPr>
      <t xml:space="preserve">399+</t>
    </r>
    <r>
      <rPr>
        <sz val="11"/>
        <color theme="1"/>
        <rFont val="Noto Sans SC"/>
        <family val="2"/>
      </rPr>
      <t xml:space="preserve">）</t>
    </r>
  </si>
  <si>
    <r>
      <rPr>
        <b val="true"/>
        <sz val="11"/>
        <rFont val="Noto Sans SC"/>
        <family val="2"/>
      </rPr>
      <t xml:space="preserve">需成交单数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SC"/>
        <family val="2"/>
      </rPr>
      <t xml:space="preserve">月</t>
    </r>
  </si>
  <si>
    <r>
      <rPr>
        <b val="true"/>
        <sz val="11"/>
        <rFont val="Noto Sans SC"/>
        <family val="2"/>
      </rPr>
      <t xml:space="preserve">合计 </t>
    </r>
    <r>
      <rPr>
        <b val="true"/>
        <sz val="11"/>
        <rFont val="Cambria"/>
        <family val="0"/>
        <charset val="1"/>
      </rPr>
      <t xml:space="preserve">/ </t>
    </r>
    <r>
      <rPr>
        <b val="true"/>
        <sz val="11"/>
        <rFont val="Noto Sans SC"/>
        <family val="2"/>
      </rPr>
      <t xml:space="preserve">混合客单</t>
    </r>
  </si>
  <si>
    <t xml:space="preserve">其中付费单量</t>
  </si>
  <si>
    <t xml:space="preserve">投流支出</t>
  </si>
  <si>
    <r>
      <rPr>
        <b val="true"/>
        <sz val="11"/>
        <rFont val="Noto Sans SC"/>
        <family val="2"/>
      </rPr>
      <t xml:space="preserve">净利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SC"/>
        <family val="2"/>
      </rPr>
      <t xml:space="preserve">扣投流</t>
    </r>
    <r>
      <rPr>
        <b val="true"/>
        <sz val="11"/>
        <rFont val="Cambria"/>
        <family val="0"/>
        <charset val="1"/>
      </rPr>
      <t xml:space="preserve">)</t>
    </r>
  </si>
  <si>
    <t xml:space="preserve">关键动作：把主力层占比往上推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</si>
  <si>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SC"/>
        <family val="2"/>
      </rPr>
      <t xml:space="preserve">主力层占比 </t>
    </r>
    <r>
      <rPr>
        <sz val="11"/>
        <color theme="1"/>
        <rFont val="Calibri"/>
        <family val="2"/>
        <charset val="1"/>
      </rPr>
      <t xml:space="preserve">35% → </t>
    </r>
    <r>
      <rPr>
        <sz val="11"/>
        <color theme="1"/>
        <rFont val="Noto Sans SC"/>
        <family val="2"/>
      </rPr>
      <t xml:space="preserve">混合客单约 </t>
    </r>
    <r>
      <rPr>
        <sz val="11"/>
        <color theme="1"/>
        <rFont val="Calibri"/>
        <family val="2"/>
        <charset val="1"/>
      </rPr>
      <t xml:space="preserve">88 </t>
    </r>
    <r>
      <rPr>
        <sz val="11"/>
        <color theme="1"/>
        <rFont val="Noto Sans SC"/>
        <family val="2"/>
      </rPr>
      <t xml:space="preserve">元，日均约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SC"/>
        <family val="2"/>
      </rPr>
      <t xml:space="preserve">单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</si>
  <si>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SC"/>
        <family val="2"/>
      </rPr>
      <t xml:space="preserve">主力层占比 </t>
    </r>
    <r>
      <rPr>
        <sz val="11"/>
        <color theme="1"/>
        <rFont val="Calibri"/>
        <family val="2"/>
        <charset val="1"/>
      </rPr>
      <t xml:space="preserve">50% → </t>
    </r>
    <r>
      <rPr>
        <sz val="11"/>
        <color theme="1"/>
        <rFont val="Noto Sans SC"/>
        <family val="2"/>
      </rPr>
      <t xml:space="preserve">混合客单超过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SC"/>
        <family val="2"/>
      </rPr>
      <t xml:space="preserve">元，日均降到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SC"/>
        <family val="2"/>
      </rPr>
      <t xml:space="preserve">单以内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</si>
  <si>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SC"/>
        <family val="2"/>
      </rPr>
      <t xml:space="preserve">所以第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SC"/>
        <family val="2"/>
      </rPr>
      <t xml:space="preserve">个月的核心指标不是总单量，而是「主力层成交占比」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</si>
  <si>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SC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SC"/>
        <family val="2"/>
      </rPr>
      <t xml:space="preserve">的低价买家往上推，靠三件事：详情页升级引导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自动回复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已购用户补差价升级</t>
    </r>
  </si>
  <si>
    <t xml:space="preserve">投流可行性：什么客单价才配得起付费流量</t>
  </si>
  <si>
    <t xml:space="preserve">净额必须大于获客成本，否则投一单亏一单。</t>
  </si>
  <si>
    <r>
      <rPr>
        <b val="true"/>
        <sz val="11"/>
        <color rgb="FFFFFFFF"/>
        <rFont val="Cambria"/>
        <family val="0"/>
        <charset val="1"/>
      </rPr>
      <t xml:space="preserve">CAC(</t>
    </r>
    <r>
      <rPr>
        <b val="true"/>
        <sz val="11"/>
        <color rgb="FFFFFFFF"/>
        <rFont val="Noto Sans SC"/>
        <family val="2"/>
      </rPr>
      <t xml:space="preserve">保守 </t>
    </r>
    <r>
      <rPr>
        <b val="true"/>
        <sz val="11"/>
        <color rgb="FFFFFFFF"/>
        <rFont val="Cambria"/>
        <family val="0"/>
        <charset val="1"/>
      </rPr>
      <t xml:space="preserve">20 </t>
    </r>
    <r>
      <rPr>
        <b val="true"/>
        <sz val="11"/>
        <color rgb="FFFFFFFF"/>
        <rFont val="Noto Sans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</si>
  <si>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净利</t>
  </si>
  <si>
    <r>
      <rPr>
        <b val="true"/>
        <sz val="11"/>
        <color rgb="FFFFFFFF"/>
        <rFont val="Cambria"/>
        <family val="0"/>
        <charset val="1"/>
      </rPr>
      <t xml:space="preserve">CAC(</t>
    </r>
    <r>
      <rPr>
        <b val="true"/>
        <sz val="11"/>
        <color rgb="FFFFFFFF"/>
        <rFont val="Noto Sans SC"/>
        <family val="2"/>
      </rPr>
      <t xml:space="preserve">乐观 </t>
    </r>
    <r>
      <rPr>
        <b val="true"/>
        <sz val="11"/>
        <color rgb="FFFFFFFF"/>
        <rFont val="Cambria"/>
        <family val="0"/>
        <charset val="1"/>
      </rPr>
      <t xml:space="preserve">50 </t>
    </r>
    <r>
      <rPr>
        <b val="true"/>
        <sz val="11"/>
        <color rgb="FFFFFFFF"/>
        <rFont val="Noto Sans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</si>
  <si>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SC"/>
        <family val="2"/>
      </rPr>
      <t xml:space="preserve">可承受 </t>
    </r>
    <r>
      <rPr>
        <b val="true"/>
        <sz val="11"/>
        <color rgb="FFFFFFFF"/>
        <rFont val="Cambria"/>
        <family val="0"/>
        <charset val="1"/>
      </rPr>
      <t xml:space="preserve">CAC </t>
    </r>
    <r>
      <rPr>
        <b val="true"/>
        <sz val="11"/>
        <color rgb="FFFFFFFF"/>
        <rFont val="Noto Sans SC"/>
        <family val="2"/>
      </rPr>
      <t xml:space="preserve">上限</t>
    </r>
  </si>
  <si>
    <r>
      <rPr>
        <sz val="11"/>
        <color theme="1"/>
        <rFont val="Calibri"/>
        <family val="2"/>
        <charset val="1"/>
      </rPr>
      <t xml:space="preserve">1. 29.9 </t>
    </r>
    <r>
      <rPr>
        <sz val="11"/>
        <color theme="1"/>
        <rFont val="Noto Sans SC"/>
        <family val="2"/>
      </rPr>
      <t xml:space="preserve">元客单：净额约 </t>
    </r>
    <r>
      <rPr>
        <sz val="11"/>
        <color theme="1"/>
        <rFont val="Calibri"/>
        <family val="2"/>
        <charset val="1"/>
      </rPr>
      <t xml:space="preserve">25.7 </t>
    </r>
    <r>
      <rPr>
        <sz val="11"/>
        <color theme="1"/>
        <rFont val="Noto Sans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CAC </t>
    </r>
    <r>
      <rPr>
        <sz val="11"/>
        <color theme="1"/>
        <rFont val="Noto Sans SC"/>
        <family val="2"/>
      </rPr>
      <t xml:space="preserve">乐观值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SC"/>
        <family val="2"/>
      </rPr>
      <t xml:space="preserve">元 → 每投一单亏约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SC"/>
        <family val="2"/>
      </rPr>
      <t xml:space="preserve">元。不能投。</t>
    </r>
  </si>
  <si>
    <r>
      <rPr>
        <sz val="11"/>
        <color theme="1"/>
        <rFont val="Calibri"/>
        <family val="2"/>
        <charset val="1"/>
      </rPr>
      <t xml:space="preserve">2. 99 </t>
    </r>
    <r>
      <rPr>
        <sz val="11"/>
        <color theme="1"/>
        <rFont val="Noto Sans SC"/>
        <family val="2"/>
      </rPr>
      <t xml:space="preserve">元客单：净额约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SC"/>
        <family val="2"/>
      </rPr>
      <t xml:space="preserve">元 → 两种 </t>
    </r>
    <r>
      <rPr>
        <sz val="11"/>
        <color theme="1"/>
        <rFont val="Calibri"/>
        <family val="2"/>
        <charset val="1"/>
      </rPr>
      <t xml:space="preserve">CAC </t>
    </r>
    <r>
      <rPr>
        <sz val="11"/>
        <color theme="1"/>
        <rFont val="Noto Sans SC"/>
        <family val="2"/>
      </rPr>
      <t xml:space="preserve">假设下都为正，可以投。</t>
    </r>
  </si>
  <si>
    <r>
      <rPr>
        <sz val="11"/>
        <color theme="1"/>
        <rFont val="Calibri"/>
        <family val="2"/>
        <charset val="1"/>
      </rPr>
      <t xml:space="preserve">3. 149 </t>
    </r>
    <r>
      <rPr>
        <sz val="11"/>
        <color theme="1"/>
        <rFont val="Noto Sans SC"/>
        <family val="2"/>
      </rPr>
      <t xml:space="preserve">元以上：投流空间充足，可以做「付费放量」。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</si>
  <si>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SC"/>
        <family val="2"/>
      </rPr>
      <t xml:space="preserve">所以顺序必须是：先靠内容和搜索把客单做上去，再开投流。反过来做一定亏。</t>
    </r>
  </si>
  <si>
    <r>
      <rPr>
        <b val="true"/>
        <sz val="14"/>
        <rFont val="Cambria"/>
        <family val="0"/>
        <charset val="1"/>
      </rPr>
      <t xml:space="preserve">3 </t>
    </r>
    <r>
      <rPr>
        <b val="true"/>
        <sz val="14"/>
        <rFont val="Noto Sans SC"/>
        <family val="2"/>
      </rPr>
      <t xml:space="preserve">个月路线图：每月只解决一个瓶颈</t>
    </r>
  </si>
  <si>
    <t xml:space="preserve">不追求每月等速增长，而是每月换一个卡点去打。</t>
  </si>
  <si>
    <t xml:space="preserve">月份</t>
  </si>
  <si>
    <t xml:space="preserve">本月瓶颈</t>
  </si>
  <si>
    <t xml:space="preserve">核心动作</t>
  </si>
  <si>
    <t xml:space="preserve">客单目标</t>
  </si>
  <si>
    <t xml:space="preserve">判定线</t>
  </si>
  <si>
    <r>
      <rPr>
        <sz val="11"/>
        <color theme="1"/>
        <rFont val="Noto Sans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</rPr>
      <t xml:space="preserve">个月</t>
    </r>
  </si>
  <si>
    <r>
      <rPr>
        <sz val="11"/>
        <color theme="1"/>
        <rFont val="Noto Sans SC"/>
        <family val="2"/>
      </rPr>
      <t xml:space="preserve">信任与出单（</t>
    </r>
    <r>
      <rPr>
        <sz val="11"/>
        <color theme="1"/>
        <rFont val="Calibri"/>
        <family val="2"/>
        <charset val="1"/>
      </rPr>
      <t xml:space="preserve">0 → </t>
    </r>
    <r>
      <rPr>
        <sz val="11"/>
        <color theme="1"/>
        <rFont val="Noto Sans SC"/>
        <family val="2"/>
      </rPr>
      <t xml:space="preserve">首批成交）</t>
    </r>
  </si>
  <si>
    <r>
      <rPr>
        <sz val="11"/>
        <color theme="1"/>
        <rFont val="Noto Sans SC"/>
        <family val="2"/>
      </rPr>
      <t xml:space="preserve">完成银行核验填表；上架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</rPr>
      <t xml:space="preserve">个入门款；发布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SC"/>
        <family val="2"/>
      </rPr>
      <t xml:space="preserve">篇；每篇带互动钩子；跑通自动发货</t>
    </r>
  </si>
  <si>
    <r>
      <rPr>
        <sz val="11"/>
        <color theme="1"/>
        <rFont val="Calibri"/>
        <family val="2"/>
        <charset val="1"/>
      </rPr>
      <t xml:space="preserve">25–35 </t>
    </r>
    <r>
      <rPr>
        <sz val="11"/>
        <color theme="1"/>
        <rFont val="Noto Sans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</si>
  <si>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SC"/>
        <family val="2"/>
      </rPr>
      <t xml:space="preserve">单</t>
    </r>
  </si>
  <si>
    <r>
      <rPr>
        <sz val="11"/>
        <color theme="1"/>
        <rFont val="Calibri"/>
        <family val="2"/>
        <charset val="1"/>
      </rPr>
      <t xml:space="preserve">1500–2500 </t>
    </r>
    <r>
      <rPr>
        <sz val="11"/>
        <color theme="1"/>
        <rFont val="Noto Sans SC"/>
        <family val="2"/>
      </rPr>
      <t xml:space="preserve">元</t>
    </r>
  </si>
  <si>
    <r>
      <rPr>
        <sz val="11"/>
        <color theme="1"/>
        <rFont val="Noto Sans SC"/>
        <family val="2"/>
      </rPr>
      <t xml:space="preserve">评论数从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</rPr>
      <t xml:space="preserve">变正数；出现单篇 </t>
    </r>
    <r>
      <rPr>
        <sz val="11"/>
        <color theme="1"/>
        <rFont val="Calibri"/>
        <family val="2"/>
        <charset val="1"/>
      </rPr>
      <t xml:space="preserve">1000+ </t>
    </r>
    <r>
      <rPr>
        <sz val="11"/>
        <color theme="1"/>
        <rFont val="Noto Sans SC"/>
        <family val="2"/>
      </rPr>
      <t xml:space="preserve">观看</t>
    </r>
  </si>
  <si>
    <r>
      <rPr>
        <sz val="11"/>
        <color theme="1"/>
        <rFont val="Noto Sans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</rPr>
      <t xml:space="preserve">个月</t>
    </r>
  </si>
  <si>
    <t xml:space="preserve">客单（把人往上推）</t>
  </si>
  <si>
    <r>
      <rPr>
        <sz val="11"/>
        <color theme="1"/>
        <rFont val="Noto Sans SC"/>
        <family val="2"/>
      </rPr>
      <t xml:space="preserve">上架全流程包 </t>
    </r>
    <r>
      <rPr>
        <sz val="11"/>
        <color theme="1"/>
        <rFont val="Calibri"/>
        <family val="2"/>
        <charset val="1"/>
      </rPr>
      <t xml:space="preserve">99 </t>
    </r>
    <r>
      <rPr>
        <sz val="11"/>
        <color theme="1"/>
        <rFont val="Noto Sans SC"/>
        <family val="2"/>
      </rPr>
      <t xml:space="preserve">元；详情页加升级引导；已购用户补差价升级；主力层占比 ≥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</si>
  <si>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60–90 </t>
    </r>
    <r>
      <rPr>
        <sz val="11"/>
        <color theme="1"/>
        <rFont val="Noto Sans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</si>
  <si>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3–5 </t>
    </r>
    <r>
      <rPr>
        <sz val="11"/>
        <color theme="1"/>
        <rFont val="Noto Sans SC"/>
        <family val="2"/>
      </rPr>
      <t xml:space="preserve">单</t>
    </r>
  </si>
  <si>
    <r>
      <rPr>
        <sz val="11"/>
        <color theme="1"/>
        <rFont val="Calibri"/>
        <family val="2"/>
        <charset val="1"/>
      </rPr>
      <t xml:space="preserve">6000–9000 </t>
    </r>
    <r>
      <rPr>
        <sz val="11"/>
        <color theme="1"/>
        <rFont val="Noto Sans SC"/>
        <family val="2"/>
      </rPr>
      <t xml:space="preserve">元</t>
    </r>
  </si>
  <si>
    <r>
      <rPr>
        <sz val="11"/>
        <color theme="1"/>
        <rFont val="Noto Sans SC"/>
        <family val="2"/>
      </rPr>
      <t xml:space="preserve">主力层成交占比 ≥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SC"/>
        <family val="2"/>
      </rPr>
      <t xml:space="preserve">；混合客单 ≥ 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Noto Sans SC"/>
        <family val="2"/>
      </rPr>
      <t xml:space="preserve">元</t>
    </r>
  </si>
  <si>
    <r>
      <rPr>
        <sz val="11"/>
        <color theme="1"/>
        <rFont val="Noto Sans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</rPr>
      <t xml:space="preserve">个月</t>
    </r>
  </si>
  <si>
    <t xml:space="preserve">放量（才允许花钱）</t>
  </si>
  <si>
    <r>
      <rPr>
        <sz val="11"/>
        <color theme="1"/>
        <rFont val="Noto Sans SC"/>
        <family val="2"/>
      </rPr>
      <t xml:space="preserve">客单站稳后开投流；主力层占比推到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SC"/>
        <family val="2"/>
      </rPr>
      <t xml:space="preserve">；上 </t>
    </r>
    <r>
      <rPr>
        <sz val="11"/>
        <color theme="1"/>
        <rFont val="Calibri"/>
        <family val="2"/>
        <charset val="1"/>
      </rPr>
      <t xml:space="preserve">1v1 </t>
    </r>
    <r>
      <rPr>
        <sz val="11"/>
        <color theme="1"/>
        <rFont val="Noto Sans SC"/>
        <family val="2"/>
      </rPr>
      <t xml:space="preserve">服务；复用爆款选题批量复制</t>
    </r>
  </si>
  <si>
    <r>
      <rPr>
        <sz val="11"/>
        <color theme="1"/>
        <rFont val="Calibri"/>
        <family val="2"/>
        <charset val="1"/>
      </rPr>
      <t xml:space="preserve">100–150 </t>
    </r>
    <r>
      <rPr>
        <sz val="11"/>
        <color theme="1"/>
        <rFont val="Noto Sans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</si>
  <si>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6–8 </t>
    </r>
    <r>
      <rPr>
        <sz val="11"/>
        <color theme="1"/>
        <rFont val="Noto Sans SC"/>
        <family val="2"/>
      </rPr>
      <t xml:space="preserve">单</t>
    </r>
  </si>
  <si>
    <r>
      <rPr>
        <sz val="11"/>
        <color theme="1"/>
        <rFont val="Calibri"/>
        <family val="2"/>
        <charset val="1"/>
      </rPr>
      <t xml:space="preserve">20000 </t>
    </r>
    <r>
      <rPr>
        <sz val="11"/>
        <color theme="1"/>
        <rFont val="Noto Sans SC"/>
        <family val="2"/>
      </rPr>
      <t xml:space="preserve">元</t>
    </r>
  </si>
  <si>
    <r>
      <rPr>
        <sz val="11"/>
        <color theme="1"/>
        <rFont val="Noto Sans SC"/>
        <family val="2"/>
      </rPr>
      <t xml:space="preserve">混合客单 ≥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SC"/>
        <family val="2"/>
      </rPr>
      <t xml:space="preserve">元；投流 </t>
    </r>
    <r>
      <rPr>
        <sz val="11"/>
        <color theme="1"/>
        <rFont val="Calibri"/>
        <family val="2"/>
        <charset val="1"/>
      </rPr>
      <t xml:space="preserve">ROI ≥ 1.5</t>
    </r>
  </si>
  <si>
    <t xml:space="preserve">这个路线图最重要的三条纪律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</si>
  <si>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</rPr>
      <t xml:space="preserve">个月不要碰投流。客单没上去之前，投流是纯亏损，且会把「亏损」误读成「起量」。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</si>
  <si>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</rPr>
      <t xml:space="preserve">个月不要加产品数量。瓶颈在客单，不在品类——上新只会分散账号标签。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</si>
  <si>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</rPr>
      <t xml:space="preserve">个月才是投流窗口。前提是混合客单 ≥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SC"/>
        <family val="2"/>
      </rPr>
      <t xml:space="preserve">元，此时 </t>
    </r>
    <r>
      <rPr>
        <sz val="11"/>
        <color theme="1"/>
        <rFont val="Calibri"/>
        <family val="2"/>
        <charset val="1"/>
      </rPr>
      <t xml:space="preserve">CAC </t>
    </r>
    <r>
      <rPr>
        <sz val="11"/>
        <color theme="1"/>
        <rFont val="Noto Sans SC"/>
        <family val="2"/>
      </rPr>
      <t xml:space="preserve">才有空间。</t>
    </r>
  </si>
  <si>
    <t xml:space="preserve">不迎合的风险声明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</si>
  <si>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SC"/>
        <family val="2"/>
      </rPr>
      <t xml:space="preserve">月入 </t>
    </r>
    <r>
      <rPr>
        <sz val="11"/>
        <color theme="1"/>
        <rFont val="Calibri"/>
        <family val="2"/>
        <charset val="1"/>
      </rPr>
      <t xml:space="preserve">2W </t>
    </r>
    <r>
      <rPr>
        <sz val="11"/>
        <color theme="1"/>
        <rFont val="Noto Sans SC"/>
        <family val="2"/>
      </rPr>
      <t xml:space="preserve">是挑战目标，不是保底。第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</rPr>
      <t xml:space="preserve">个月从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</rPr>
      <t xml:space="preserve">单起步，现实区间是 </t>
    </r>
    <r>
      <rPr>
        <sz val="11"/>
        <color theme="1"/>
        <rFont val="Calibri"/>
        <family val="2"/>
        <charset val="1"/>
      </rPr>
      <t xml:space="preserve">1500–2500 </t>
    </r>
    <r>
      <rPr>
        <sz val="11"/>
        <color theme="1"/>
        <rFont val="Noto Sans SC"/>
        <family val="2"/>
      </rPr>
      <t xml:space="preserve">元（与项目诊断报告的中位预期一致）。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</si>
  <si>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</rPr>
      <t xml:space="preserve">个月达成 </t>
    </r>
    <r>
      <rPr>
        <sz val="11"/>
        <color theme="1"/>
        <rFont val="Calibri"/>
        <family val="2"/>
        <charset val="1"/>
      </rPr>
      <t xml:space="preserve">2W </t>
    </r>
    <r>
      <rPr>
        <sz val="11"/>
        <color theme="1"/>
        <rFont val="Noto Sans SC"/>
        <family val="2"/>
      </rPr>
      <t xml:space="preserve">需要同时满足三件事：主力层占比 ≥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SC"/>
        <family val="2"/>
      </rPr>
      <t xml:space="preserve">、混合客单 ≥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SC"/>
        <family val="2"/>
      </rPr>
      <t xml:space="preserve">元、至少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</rPr>
      <t xml:space="preserve">篇 </t>
    </r>
    <r>
      <rPr>
        <sz val="11"/>
        <color theme="1"/>
        <rFont val="Calibri"/>
        <family val="2"/>
        <charset val="1"/>
      </rPr>
      <t xml:space="preserve">5000+ </t>
    </r>
    <r>
      <rPr>
        <sz val="11"/>
        <color theme="1"/>
        <rFont val="Noto Sans SC"/>
        <family val="2"/>
      </rPr>
      <t xml:space="preserve">观看的爆款。缺一项，落点大概率在 </t>
    </r>
    <r>
      <rPr>
        <sz val="11"/>
        <color theme="1"/>
        <rFont val="Calibri"/>
        <family val="2"/>
        <charset val="1"/>
      </rPr>
      <t xml:space="preserve">8000–12000 </t>
    </r>
    <r>
      <rPr>
        <sz val="11"/>
        <color theme="1"/>
        <rFont val="Noto Sans SC"/>
        <family val="2"/>
      </rPr>
      <t xml:space="preserve">元。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</si>
  <si>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SC"/>
        <family val="2"/>
      </rPr>
      <t xml:space="preserve">任何「先违规起量再整改」的想法都要排除：平台清退者永久禁止重新入驻，退出成本不可逆。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</si>
  <si>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SC"/>
        <family val="2"/>
      </rPr>
      <t xml:space="preserve">主力层能否成立，取决于你能否交付「一次简历诊断」这类人工服务。做不到就改用「定制改写建议」，但仍需你本人处理。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</si>
</sst>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"/>
    <numFmt numFmtId="168" formatCode="0%"/>
    <numFmt numFmtId="169" formatCode="#,##0&quot; 元&quot;"/>
    <numFmt numFmtId="170" formatCode="#,##0&quot; 单&quot;"/>
    <numFmt numFmtId="171" formatCode="0.0"/>
    <numFmt numFmtId="172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SC"/>
      <family val="2"/>
    </font>
    <font>
      <sz val="9"/>
      <color rgb="FF808080"/>
      <name val="Noto Sans SC"/>
      <family val="2"/>
    </font>
    <font>
      <sz val="11"/>
      <color theme="1"/>
      <name val="Noto Sans SC"/>
      <family val="2"/>
    </font>
    <font>
      <b val="true"/>
      <sz val="11"/>
      <name val="Cambria"/>
      <family val="0"/>
      <charset val="1"/>
    </font>
    <font>
      <b val="true"/>
      <sz val="11"/>
      <name val="Noto Sans SC"/>
      <family val="2"/>
    </font>
    <font>
      <b val="true"/>
      <sz val="14"/>
      <name val="Cambria"/>
      <family val="0"/>
      <charset val="1"/>
    </font>
    <font>
      <sz val="9"/>
      <color rgb="FF808080"/>
      <name val="Cambria"/>
      <family val="0"/>
      <charset val="1"/>
    </font>
    <font>
      <b val="true"/>
      <sz val="11"/>
      <color rgb="FFFFFFFF"/>
      <name val="Noto Sans SC"/>
      <family val="2"/>
    </font>
    <font>
      <b val="true"/>
      <sz val="11"/>
      <color rgb="FFFFFFFF"/>
      <name val="Cambria"/>
      <family val="0"/>
      <charset val="1"/>
    </font>
    <font>
      <b val="true"/>
      <sz val="11"/>
      <color rgb="FFC00000"/>
      <name val="Noto Sans SC"/>
      <family val="2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2F559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7.15" hidden="false" customHeight="false" outlineLevel="0" collapsed="false">
      <c r="A5" s="3" t="s">
        <v>6</v>
      </c>
      <c r="B5" s="4" t="n">
        <v>20000</v>
      </c>
      <c r="C5" s="3" t="s">
        <v>7</v>
      </c>
      <c r="D5" s="3" t="s">
        <v>8</v>
      </c>
    </row>
    <row r="6" customFormat="false" ht="15" hidden="false" customHeight="false" outlineLevel="0" collapsed="false">
      <c r="A6" s="3" t="s">
        <v>9</v>
      </c>
      <c r="B6" s="5" t="n">
        <f aca="false">1-B8-B9</f>
        <v>0.86</v>
      </c>
      <c r="C6" s="3" t="s">
        <v>10</v>
      </c>
      <c r="D6" s="0" t="e">
        <f aca="false">1 − 平台服务费 − 退款损耗</f>
        <v>#N/A</v>
      </c>
    </row>
    <row r="7" customFormat="false" ht="15" hidden="false" customHeight="false" outlineLevel="0" collapsed="false">
      <c r="A7" s="3" t="s">
        <v>11</v>
      </c>
      <c r="B7" s="0" t="n">
        <v>30</v>
      </c>
      <c r="C7" s="3" t="s">
        <v>12</v>
      </c>
    </row>
    <row r="8" customFormat="false" ht="17.15" hidden="false" customHeight="false" outlineLevel="0" collapsed="false">
      <c r="A8" s="3" t="s">
        <v>13</v>
      </c>
      <c r="B8" s="6" t="n">
        <v>0.02</v>
      </c>
      <c r="C8" s="3" t="s">
        <v>10</v>
      </c>
      <c r="D8" s="3" t="s">
        <v>14</v>
      </c>
    </row>
    <row r="9" customFormat="false" ht="15" hidden="false" customHeight="false" outlineLevel="0" collapsed="false">
      <c r="A9" s="3" t="s">
        <v>15</v>
      </c>
      <c r="B9" s="6" t="n">
        <v>0.12</v>
      </c>
      <c r="C9" s="3" t="s">
        <v>10</v>
      </c>
      <c r="D9" s="3" t="s">
        <v>16</v>
      </c>
    </row>
    <row r="10" customFormat="false" ht="17.15" hidden="false" customHeight="false" outlineLevel="0" collapsed="false">
      <c r="A10" s="3" t="s">
        <v>17</v>
      </c>
      <c r="B10" s="7" t="n">
        <v>20</v>
      </c>
      <c r="C10" s="3" t="s">
        <v>18</v>
      </c>
      <c r="D10" s="0" t="s">
        <v>19</v>
      </c>
    </row>
    <row r="11" customFormat="false" ht="17.15" hidden="false" customHeight="false" outlineLevel="0" collapsed="false">
      <c r="A11" s="3" t="s">
        <v>20</v>
      </c>
      <c r="B11" s="7" t="n">
        <v>50</v>
      </c>
      <c r="C11" s="3" t="s">
        <v>18</v>
      </c>
      <c r="D11" s="0" t="s">
        <v>21</v>
      </c>
    </row>
    <row r="12" customFormat="false" ht="17.15" hidden="false" customHeight="false" outlineLevel="0" collapsed="false">
      <c r="A12" s="3" t="s">
        <v>22</v>
      </c>
      <c r="B12" s="8" t="n">
        <v>0.4</v>
      </c>
      <c r="C12" s="3" t="s">
        <v>10</v>
      </c>
      <c r="D12" s="0" t="s">
        <v>23</v>
      </c>
    </row>
    <row r="14" customFormat="false" ht="15" hidden="false" customHeight="false" outlineLevel="0" collapsed="false">
      <c r="A14" s="9" t="s">
        <v>24</v>
      </c>
    </row>
    <row r="15" customFormat="false" ht="17.15" hidden="false" customHeight="false" outlineLevel="0" collapsed="false">
      <c r="A15" s="10" t="s">
        <v>25</v>
      </c>
      <c r="B15" s="11" t="n">
        <f aca="false">ROUND($B$5/B6,0)</f>
        <v>23256</v>
      </c>
      <c r="D15" s="3" t="s">
        <v>26</v>
      </c>
    </row>
    <row r="16" customFormat="false" ht="17.15" hidden="false" customHeight="false" outlineLevel="0" collapsed="false">
      <c r="A16" s="10" t="s">
        <v>27</v>
      </c>
      <c r="B16" s="12" t="n">
        <f aca="false">ROUND($B$5/(99*B6),0)</f>
        <v>235</v>
      </c>
    </row>
    <row r="17" customFormat="false" ht="17.15" hidden="false" customHeight="false" outlineLevel="0" collapsed="false">
      <c r="A17" s="10" t="s">
        <v>28</v>
      </c>
      <c r="B17" s="11" t="n">
        <f aca="false">ROUND($B$5/(99*B6)*B12*AVERAGE(B10,B11),0)</f>
        <v>3289</v>
      </c>
      <c r="D17" s="3" t="s">
        <v>29</v>
      </c>
    </row>
    <row r="18" customFormat="false" ht="17.15" hidden="false" customHeight="false" outlineLevel="0" collapsed="false">
      <c r="A18" s="10" t="s">
        <v>30</v>
      </c>
      <c r="B18" s="11" t="n">
        <f aca="false">$B$5-B16</f>
        <v>19765</v>
      </c>
      <c r="D18" s="3" t="s">
        <v>31</v>
      </c>
    </row>
    <row r="19" customFormat="false" ht="15" hidden="false" customHeight="false" outlineLevel="0" collapsed="false">
      <c r="A19" s="10" t="s">
        <v>32</v>
      </c>
      <c r="B19" s="13" t="e">
        <f aca="false">IF(B17&gt;=target,"纯自然流 + 99 元客单即可达标","投流会吃掉 "&amp;TEXT(B16,"#,##0")&amp;" 元：2W 净利只能靠自然流 + 提客单实现，不能靠买量")</f>
        <v>#NAME?</v>
      </c>
      <c r="D19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1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9"/>
    <col collapsed="false" customWidth="true" hidden="false" outlineLevel="0" max="9" min="8" style="0" width="14"/>
  </cols>
  <sheetData>
    <row r="1" customFormat="false" ht="21.6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32.8" hidden="false" customHeight="false" outlineLevel="0" collapsed="false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</row>
    <row r="5" customFormat="false" ht="17.15" hidden="false" customHeight="false" outlineLevel="0" collapsed="false">
      <c r="A5" s="15" t="s">
        <v>45</v>
      </c>
      <c r="B5" s="16" t="n">
        <v>29.9</v>
      </c>
      <c r="C5" s="17" t="n">
        <f aca="false">B5*假设!$B$6</f>
        <v>25.714</v>
      </c>
      <c r="D5" s="15" t="n">
        <f aca="false">ROUNDUP(假设!$B$5/C5,0)</f>
        <v>778</v>
      </c>
      <c r="E5" s="18" t="n">
        <f aca="false">ROUND(D5/假设!$B$7,1)</f>
        <v>25.9</v>
      </c>
      <c r="F5" s="15" t="n">
        <f aca="false">ROUND(D5*假设!$B$12,0)</f>
        <v>311</v>
      </c>
      <c r="G5" s="19" t="n">
        <f aca="false">F5*AVERAGE(假设!$B$10,假设!$B$11)</f>
        <v>10885</v>
      </c>
      <c r="H5" s="19" t="n">
        <f aca="false">ROUND(D5*C5-G5,0)</f>
        <v>9120</v>
      </c>
      <c r="I5" s="20" t="str">
        <f aca="false">IF(H5&gt;=假设!$B$5,"达标（自然流口径）","差 "&amp;TEXT(假设!$B$5-H5,"#,##0")&amp;" 元")</f>
        <v>差 10,880 元</v>
      </c>
    </row>
    <row r="6" customFormat="false" ht="17.15" hidden="false" customHeight="false" outlineLevel="0" collapsed="false">
      <c r="A6" s="21" t="s">
        <v>46</v>
      </c>
      <c r="B6" s="16" t="n">
        <v>49.9</v>
      </c>
      <c r="C6" s="17" t="n">
        <f aca="false">B6*假设!$B$6</f>
        <v>42.914</v>
      </c>
      <c r="D6" s="15" t="n">
        <f aca="false">ROUNDUP(假设!$B$5/C6,0)</f>
        <v>467</v>
      </c>
      <c r="E6" s="18" t="n">
        <f aca="false">ROUND(D6/假设!$B$7,1)</f>
        <v>15.6</v>
      </c>
      <c r="F6" s="15" t="n">
        <f aca="false">ROUND(D6*假设!$B$12,0)</f>
        <v>187</v>
      </c>
      <c r="G6" s="19" t="n">
        <f aca="false">F6*AVERAGE(假设!$B$10,假设!$B$11)</f>
        <v>6545</v>
      </c>
      <c r="H6" s="19" t="n">
        <f aca="false">ROUND(D6*C6-G6,0)</f>
        <v>13496</v>
      </c>
      <c r="I6" s="20" t="str">
        <f aca="false">IF(H6&gt;=假设!$B$5,"达标（自然流口径）","差 "&amp;TEXT(假设!$B$5-H6,"#,##0")&amp;" 元")</f>
        <v>差 6,504 元</v>
      </c>
    </row>
    <row r="7" customFormat="false" ht="17.15" hidden="false" customHeight="false" outlineLevel="0" collapsed="false">
      <c r="A7" s="21" t="s">
        <v>47</v>
      </c>
      <c r="B7" s="16" t="n">
        <v>99</v>
      </c>
      <c r="C7" s="17" t="n">
        <f aca="false">B7*假设!$B$6</f>
        <v>85.14</v>
      </c>
      <c r="D7" s="15" t="n">
        <f aca="false">ROUNDUP(假设!$B$5/C7,0)</f>
        <v>235</v>
      </c>
      <c r="E7" s="18" t="n">
        <f aca="false">ROUND(D7/假设!$B$7,1)</f>
        <v>7.8</v>
      </c>
      <c r="F7" s="15" t="n">
        <f aca="false">ROUND(D7*假设!$B$12,0)</f>
        <v>94</v>
      </c>
      <c r="G7" s="19" t="n">
        <f aca="false">F7*AVERAGE(假设!$B$10,假设!$B$11)</f>
        <v>3290</v>
      </c>
      <c r="H7" s="19" t="n">
        <f aca="false">ROUND(D7*C7-G7,0)</f>
        <v>16718</v>
      </c>
      <c r="I7" s="20" t="str">
        <f aca="false">IF(H7&gt;=假设!$B$5,"达标（自然流口径）","差 "&amp;TEXT(假设!$B$5-H7,"#,##0")&amp;" 元")</f>
        <v>差 3,282 元</v>
      </c>
    </row>
    <row r="8" customFormat="false" ht="17.15" hidden="false" customHeight="false" outlineLevel="0" collapsed="false">
      <c r="A8" s="21" t="s">
        <v>48</v>
      </c>
      <c r="B8" s="16" t="n">
        <v>149</v>
      </c>
      <c r="C8" s="17" t="n">
        <f aca="false">B8*假设!$B$6</f>
        <v>128.14</v>
      </c>
      <c r="D8" s="15" t="n">
        <f aca="false">ROUNDUP(假设!$B$5/C8,0)</f>
        <v>157</v>
      </c>
      <c r="E8" s="18" t="n">
        <f aca="false">ROUND(D8/假设!$B$7,1)</f>
        <v>5.2</v>
      </c>
      <c r="F8" s="15" t="n">
        <f aca="false">ROUND(D8*假设!$B$12,0)</f>
        <v>63</v>
      </c>
      <c r="G8" s="19" t="n">
        <f aca="false">F8*AVERAGE(假设!$B$10,假设!$B$11)</f>
        <v>2205</v>
      </c>
      <c r="H8" s="19" t="n">
        <f aca="false">ROUND(D8*C8-G8,0)</f>
        <v>17913</v>
      </c>
      <c r="I8" s="20" t="str">
        <f aca="false">IF(H8&gt;=假设!$B$5,"达标（自然流口径）","差 "&amp;TEXT(假设!$B$5-H8,"#,##0")&amp;" 元")</f>
        <v>差 2,087 元</v>
      </c>
    </row>
    <row r="9" customFormat="false" ht="17.15" hidden="false" customHeight="false" outlineLevel="0" collapsed="false">
      <c r="A9" s="21" t="s">
        <v>49</v>
      </c>
      <c r="B9" s="16" t="n">
        <v>199</v>
      </c>
      <c r="C9" s="17" t="n">
        <f aca="false">B9*假设!$B$6</f>
        <v>171.14</v>
      </c>
      <c r="D9" s="15" t="n">
        <f aca="false">ROUNDUP(假设!$B$5/C9,0)</f>
        <v>117</v>
      </c>
      <c r="E9" s="18" t="n">
        <f aca="false">ROUND(D9/假设!$B$7,1)</f>
        <v>3.9</v>
      </c>
      <c r="F9" s="15" t="n">
        <f aca="false">ROUND(D9*假设!$B$12,0)</f>
        <v>47</v>
      </c>
      <c r="G9" s="19" t="n">
        <f aca="false">F9*AVERAGE(假设!$B$10,假设!$B$11)</f>
        <v>1645</v>
      </c>
      <c r="H9" s="19" t="n">
        <f aca="false">ROUND(D9*C9-G9,0)</f>
        <v>18378</v>
      </c>
      <c r="I9" s="20" t="str">
        <f aca="false">IF(H9&gt;=假设!$B$5,"达标（自然流口径）","差 "&amp;TEXT(假设!$B$5-H9,"#,##0")&amp;" 元")</f>
        <v>差 1,622 元</v>
      </c>
    </row>
    <row r="10" customFormat="false" ht="17.15" hidden="false" customHeight="false" outlineLevel="0" collapsed="false">
      <c r="A10" s="21" t="s">
        <v>50</v>
      </c>
      <c r="B10" s="16" t="n">
        <v>399</v>
      </c>
      <c r="C10" s="17" t="n">
        <f aca="false">B10*假设!$B$6</f>
        <v>343.14</v>
      </c>
      <c r="D10" s="15" t="n">
        <f aca="false">ROUNDUP(假设!$B$5/C10,0)</f>
        <v>59</v>
      </c>
      <c r="E10" s="18" t="n">
        <f aca="false">ROUND(D10/假设!$B$7,1)</f>
        <v>2</v>
      </c>
      <c r="F10" s="15" t="n">
        <f aca="false">ROUND(D10*假设!$B$12,0)</f>
        <v>24</v>
      </c>
      <c r="G10" s="19" t="n">
        <f aca="false">F10*AVERAGE(假设!$B$10,假设!$B$11)</f>
        <v>840</v>
      </c>
      <c r="H10" s="19" t="n">
        <f aca="false">ROUND(D10*C10-G10,0)</f>
        <v>19405</v>
      </c>
      <c r="I10" s="20" t="str">
        <f aca="false">IF(H10&gt;=假设!$B$5,"达标（自然流口径）","差 "&amp;TEXT(假设!$B$5-H10,"#,##0")&amp;" 元")</f>
        <v>差 595 元</v>
      </c>
    </row>
    <row r="12" customFormat="false" ht="15" hidden="false" customHeight="false" outlineLevel="0" collapsed="false">
      <c r="A12" s="10" t="s">
        <v>51</v>
      </c>
    </row>
    <row r="13" customFormat="false" ht="17.15" hidden="false" customHeight="false" outlineLevel="0" collapsed="false">
      <c r="A13" s="0" t="s">
        <v>52</v>
      </c>
    </row>
    <row r="14" customFormat="false" ht="17.15" hidden="false" customHeight="false" outlineLevel="0" collapsed="false">
      <c r="A14" s="0" t="s">
        <v>53</v>
      </c>
    </row>
    <row r="15" customFormat="false" ht="17.15" hidden="false" customHeight="false" outlineLevel="0" collapsed="false">
      <c r="A15" s="0" t="s">
        <v>54</v>
      </c>
    </row>
    <row r="16" customFormat="false" ht="17.15" hidden="false" customHeight="false" outlineLevel="0" collapsed="false">
      <c r="A16" s="0" t="s">
        <v>55</v>
      </c>
    </row>
  </sheetData>
  <conditionalFormatting sqref="E5:E10">
    <cfRule type="cellIs" priority="2" operator="lessThanOrEqual" aboveAverage="0" equalAverage="0" bottom="0" percent="0" rank="0" text="" dxfId="0">
      <formula>8</formula>
    </cfRule>
    <cfRule type="cellIs" priority="3" operator="greaterThan" aboveAverage="0" equalAverage="0" bottom="0" percent="0" rank="0" text="" dxfId="1">
      <formula>15</formula>
    </cfRule>
  </conditionalFormatting>
  <conditionalFormatting sqref="I5:I10">
    <cfRule type="cellIs" priority="4" operator="equal" aboveAverage="0" equalAverage="0" bottom="0" percent="0" rank="0" text="" dxfId="0">
      <formula>"达标"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1.6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22" t="s">
        <v>58</v>
      </c>
      <c r="B4" s="22" t="s">
        <v>59</v>
      </c>
      <c r="C4" s="22" t="s">
        <v>37</v>
      </c>
      <c r="D4" s="22" t="s">
        <v>60</v>
      </c>
      <c r="F4" s="22" t="s">
        <v>61</v>
      </c>
      <c r="G4" s="22" t="s">
        <v>3</v>
      </c>
    </row>
    <row r="5" customFormat="false" ht="17.15" hidden="false" customHeight="false" outlineLevel="0" collapsed="false">
      <c r="A5" s="23" t="s">
        <v>62</v>
      </c>
      <c r="B5" s="24" t="n">
        <v>0.55</v>
      </c>
      <c r="C5" s="25" t="n">
        <v>25</v>
      </c>
      <c r="D5" s="25" t="n">
        <f aca="false">B5*C5</f>
        <v>13.75</v>
      </c>
      <c r="F5" s="10" t="s">
        <v>63</v>
      </c>
      <c r="G5" s="26" t="n">
        <f aca="false">D8</f>
        <v>88.3</v>
      </c>
    </row>
    <row r="6" customFormat="false" ht="17.15" hidden="false" customHeight="false" outlineLevel="0" collapsed="false">
      <c r="A6" s="23" t="s">
        <v>64</v>
      </c>
      <c r="B6" s="24" t="n">
        <v>0.35</v>
      </c>
      <c r="C6" s="25" t="n">
        <v>99</v>
      </c>
      <c r="D6" s="25" t="n">
        <f aca="false">B6*C6</f>
        <v>34.65</v>
      </c>
      <c r="F6" s="10" t="s">
        <v>65</v>
      </c>
      <c r="G6" s="27" t="n">
        <f aca="false">D8*假设!$B$6</f>
        <v>75.938</v>
      </c>
    </row>
    <row r="7" customFormat="false" ht="17.15" hidden="false" customHeight="false" outlineLevel="0" collapsed="false">
      <c r="A7" s="23" t="s">
        <v>66</v>
      </c>
      <c r="B7" s="24" t="n">
        <v>0.1</v>
      </c>
      <c r="C7" s="25" t="n">
        <v>399</v>
      </c>
      <c r="D7" s="25" t="n">
        <f aca="false">B7*C7</f>
        <v>39.9</v>
      </c>
      <c r="F7" s="10" t="s">
        <v>67</v>
      </c>
      <c r="G7" s="28" t="n">
        <f aca="false">ROUNDUP(假设!$B$5/(D8*假设!$B$6),0)</f>
        <v>264</v>
      </c>
    </row>
    <row r="8" customFormat="false" ht="17.15" hidden="false" customHeight="false" outlineLevel="0" collapsed="false">
      <c r="A8" s="10" t="s">
        <v>68</v>
      </c>
      <c r="B8" s="29" t="n">
        <f aca="false">SUM(B5:B7)</f>
        <v>1</v>
      </c>
      <c r="D8" s="30" t="n">
        <f aca="false">SUM(D5:D7)</f>
        <v>88.3</v>
      </c>
      <c r="F8" s="10" t="s">
        <v>40</v>
      </c>
      <c r="G8" s="26" t="n">
        <f aca="false">ROUND(假设!$B$5/(D8*假设!$B$6)/假设!$B$7,1)</f>
        <v>8.8</v>
      </c>
    </row>
    <row r="9" customFormat="false" ht="15" hidden="false" customHeight="false" outlineLevel="0" collapsed="false">
      <c r="F9" s="10" t="s">
        <v>69</v>
      </c>
      <c r="G9" s="28" t="n">
        <f aca="false">ROUND(假设!$B$5/(D8*假设!$B$6)*假设!$B$12,0)</f>
        <v>105</v>
      </c>
    </row>
    <row r="10" customFormat="false" ht="15" hidden="false" customHeight="false" outlineLevel="0" collapsed="false">
      <c r="F10" s="10" t="s">
        <v>70</v>
      </c>
      <c r="G10" s="28" t="n">
        <f aca="false">ROUND(假设!$B$5/(D8*假设!$B$6)*假设!$B$12*AVERAGE(假设!$B$10,假设!$B$11),0)</f>
        <v>3687</v>
      </c>
    </row>
    <row r="11" customFormat="false" ht="17.15" hidden="false" customHeight="false" outlineLevel="0" collapsed="false">
      <c r="F11" s="10" t="s">
        <v>71</v>
      </c>
      <c r="G11" s="31" t="n">
        <f aca="false">ROUND(假设!$B$5-G10,0)</f>
        <v>16313</v>
      </c>
      <c r="H11" s="0" t="str">
        <f aca="false">IF(G11&gt;=假设!$B$5,"达标","缺口 "&amp;TEXT(假设!$B$5-G11,"#,##0")&amp;" 元")</f>
        <v>缺口 3,687 元</v>
      </c>
    </row>
    <row r="13" customFormat="false" ht="15" hidden="false" customHeight="false" outlineLevel="0" collapsed="false">
      <c r="A13" s="10" t="s">
        <v>72</v>
      </c>
    </row>
    <row r="14" customFormat="false" ht="17.15" hidden="false" customHeight="false" outlineLevel="0" collapsed="false">
      <c r="A14" s="0" t="s">
        <v>73</v>
      </c>
    </row>
    <row r="15" customFormat="false" ht="17.15" hidden="false" customHeight="false" outlineLevel="0" collapsed="false">
      <c r="A15" s="0" t="s">
        <v>74</v>
      </c>
    </row>
    <row r="16" customFormat="false" ht="17.15" hidden="false" customHeight="false" outlineLevel="0" collapsed="false">
      <c r="A16" s="0" t="s">
        <v>75</v>
      </c>
    </row>
    <row r="17" customFormat="false" ht="17.15" hidden="false" customHeight="false" outlineLevel="0" collapsed="false">
      <c r="A17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7.15" hidden="false" customHeight="false" outlineLevel="0" collapsed="false">
      <c r="A4" s="14" t="s">
        <v>37</v>
      </c>
      <c r="B4" s="14" t="s">
        <v>38</v>
      </c>
      <c r="C4" s="32" t="s">
        <v>79</v>
      </c>
      <c r="D4" s="14" t="s">
        <v>80</v>
      </c>
      <c r="E4" s="32" t="s">
        <v>81</v>
      </c>
      <c r="F4" s="14" t="s">
        <v>80</v>
      </c>
      <c r="G4" s="14" t="s">
        <v>82</v>
      </c>
      <c r="H4" s="14" t="s">
        <v>32</v>
      </c>
    </row>
    <row r="5" customFormat="false" ht="15" hidden="false" customHeight="false" outlineLevel="0" collapsed="false">
      <c r="A5" s="16" t="n">
        <v>29.9</v>
      </c>
      <c r="B5" s="17" t="n">
        <f aca="false">A5*假设!$B$6</f>
        <v>25.714</v>
      </c>
      <c r="C5" s="33" t="n">
        <f aca="false">假设!$B$10</f>
        <v>20</v>
      </c>
      <c r="D5" s="17" t="n">
        <f aca="false">B5-C5</f>
        <v>5.714</v>
      </c>
      <c r="E5" s="33" t="n">
        <f aca="false">假设!$B$11</f>
        <v>50</v>
      </c>
      <c r="F5" s="17" t="n">
        <f aca="false">B5-E5</f>
        <v>-24.286</v>
      </c>
      <c r="G5" s="17" t="n">
        <f aca="false">B5</f>
        <v>25.714</v>
      </c>
      <c r="H5" s="15" t="str">
        <f aca="false">IF(D5&gt;0,"可投","每投一单亏 "&amp;TEXT(-D5,"0")&amp;" 元")</f>
        <v>可投</v>
      </c>
    </row>
    <row r="6" customFormat="false" ht="15" hidden="false" customHeight="false" outlineLevel="0" collapsed="false">
      <c r="A6" s="16" t="n">
        <v>49.9</v>
      </c>
      <c r="B6" s="17" t="n">
        <f aca="false">A6*假设!$B$6</f>
        <v>42.914</v>
      </c>
      <c r="C6" s="33" t="n">
        <f aca="false">假设!$B$10</f>
        <v>20</v>
      </c>
      <c r="D6" s="17" t="n">
        <f aca="false">B6-C6</f>
        <v>22.914</v>
      </c>
      <c r="E6" s="33" t="n">
        <f aca="false">假设!$B$11</f>
        <v>50</v>
      </c>
      <c r="F6" s="17" t="n">
        <f aca="false">B6-E6</f>
        <v>-7.086</v>
      </c>
      <c r="G6" s="17" t="n">
        <f aca="false">B6</f>
        <v>42.914</v>
      </c>
      <c r="H6" s="15" t="str">
        <f aca="false">IF(D6&gt;0,"可投","每投一单亏 "&amp;TEXT(-D6,"0")&amp;" 元")</f>
        <v>可投</v>
      </c>
    </row>
    <row r="7" customFormat="false" ht="15" hidden="false" customHeight="false" outlineLevel="0" collapsed="false">
      <c r="A7" s="16" t="n">
        <v>99</v>
      </c>
      <c r="B7" s="17" t="n">
        <f aca="false">A7*假设!$B$6</f>
        <v>85.14</v>
      </c>
      <c r="C7" s="33" t="n">
        <f aca="false">假设!$B$10</f>
        <v>20</v>
      </c>
      <c r="D7" s="17" t="n">
        <f aca="false">B7-C7</f>
        <v>65.14</v>
      </c>
      <c r="E7" s="33" t="n">
        <f aca="false">假设!$B$11</f>
        <v>50</v>
      </c>
      <c r="F7" s="17" t="n">
        <f aca="false">B7-E7</f>
        <v>35.14</v>
      </c>
      <c r="G7" s="17" t="n">
        <f aca="false">B7</f>
        <v>85.14</v>
      </c>
      <c r="H7" s="15" t="str">
        <f aca="false">IF(D7&gt;0,"可投","每投一单亏 "&amp;TEXT(-D7,"0")&amp;" 元")</f>
        <v>可投</v>
      </c>
    </row>
    <row r="8" customFormat="false" ht="15" hidden="false" customHeight="false" outlineLevel="0" collapsed="false">
      <c r="A8" s="16" t="n">
        <v>149</v>
      </c>
      <c r="B8" s="17" t="n">
        <f aca="false">A8*假设!$B$6</f>
        <v>128.14</v>
      </c>
      <c r="C8" s="33" t="n">
        <f aca="false">假设!$B$10</f>
        <v>20</v>
      </c>
      <c r="D8" s="17" t="n">
        <f aca="false">B8-C8</f>
        <v>108.14</v>
      </c>
      <c r="E8" s="33" t="n">
        <f aca="false">假设!$B$11</f>
        <v>50</v>
      </c>
      <c r="F8" s="17" t="n">
        <f aca="false">B8-E8</f>
        <v>78.14</v>
      </c>
      <c r="G8" s="17" t="n">
        <f aca="false">B8</f>
        <v>128.14</v>
      </c>
      <c r="H8" s="15" t="str">
        <f aca="false">IF(D8&gt;0,"可投","每投一单亏 "&amp;TEXT(-D8,"0")&amp;" 元")</f>
        <v>可投</v>
      </c>
    </row>
    <row r="9" customFormat="false" ht="15" hidden="false" customHeight="false" outlineLevel="0" collapsed="false">
      <c r="A9" s="16" t="n">
        <v>199</v>
      </c>
      <c r="B9" s="17" t="n">
        <f aca="false">A9*假设!$B$6</f>
        <v>171.14</v>
      </c>
      <c r="C9" s="33" t="n">
        <f aca="false">假设!$B$10</f>
        <v>20</v>
      </c>
      <c r="D9" s="17" t="n">
        <f aca="false">B9-C9</f>
        <v>151.14</v>
      </c>
      <c r="E9" s="33" t="n">
        <f aca="false">假设!$B$11</f>
        <v>50</v>
      </c>
      <c r="F9" s="17" t="n">
        <f aca="false">B9-E9</f>
        <v>121.14</v>
      </c>
      <c r="G9" s="17" t="n">
        <f aca="false">B9</f>
        <v>171.14</v>
      </c>
      <c r="H9" s="15" t="str">
        <f aca="false">IF(D9&gt;0,"可投","每投一单亏 "&amp;TEXT(-D9,"0")&amp;" 元")</f>
        <v>可投</v>
      </c>
    </row>
    <row r="10" customFormat="false" ht="15" hidden="false" customHeight="false" outlineLevel="0" collapsed="false">
      <c r="A10" s="16" t="n">
        <v>399</v>
      </c>
      <c r="B10" s="17" t="n">
        <f aca="false">A10*假设!$B$6</f>
        <v>343.14</v>
      </c>
      <c r="C10" s="33" t="n">
        <f aca="false">假设!$B$10</f>
        <v>20</v>
      </c>
      <c r="D10" s="17" t="n">
        <f aca="false">B10-C10</f>
        <v>323.14</v>
      </c>
      <c r="E10" s="33" t="n">
        <f aca="false">假设!$B$11</f>
        <v>50</v>
      </c>
      <c r="F10" s="17" t="n">
        <f aca="false">B10-E10</f>
        <v>293.14</v>
      </c>
      <c r="G10" s="17" t="n">
        <f aca="false">B10</f>
        <v>343.14</v>
      </c>
      <c r="H10" s="15" t="str">
        <f aca="false">IF(D10&gt;0,"可投","每投一单亏 "&amp;TEXT(-D10,"0")&amp;" 元")</f>
        <v>可投</v>
      </c>
    </row>
    <row r="12" customFormat="false" ht="15" hidden="false" customHeight="false" outlineLevel="0" collapsed="false">
      <c r="A12" s="10" t="s">
        <v>32</v>
      </c>
    </row>
    <row r="13" customFormat="false" ht="17.15" hidden="false" customHeight="false" outlineLevel="0" collapsed="false">
      <c r="A13" s="0" t="s">
        <v>83</v>
      </c>
    </row>
    <row r="14" customFormat="false" ht="17.15" hidden="false" customHeight="false" outlineLevel="0" collapsed="false">
      <c r="A14" s="0" t="s">
        <v>84</v>
      </c>
    </row>
    <row r="15" customFormat="false" ht="17.15" hidden="false" customHeight="false" outlineLevel="0" collapsed="false">
      <c r="A15" s="0" t="s">
        <v>85</v>
      </c>
    </row>
    <row r="16" customFormat="false" ht="17.15" hidden="false" customHeight="false" outlineLevel="0" collapsed="false">
      <c r="A16" s="0" t="s">
        <v>86</v>
      </c>
    </row>
  </sheetData>
  <conditionalFormatting sqref="D5:F10">
    <cfRule type="cellIs" priority="2" operator="lessThan" aboveAverage="0" equalAverage="0" bottom="0" percent="0" rank="0" text="" dxfId="1">
      <formula>0</formula>
    </cfRule>
    <cfRule type="cellIs" priority="3" operator="greaterThanOr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1.6" hidden="false" customHeight="false" outlineLevel="0" collapsed="false">
      <c r="A1" s="34" t="s">
        <v>87</v>
      </c>
    </row>
    <row r="2" customFormat="false" ht="15" hidden="false" customHeight="false" outlineLevel="0" collapsed="false">
      <c r="A2" s="2" t="s">
        <v>88</v>
      </c>
    </row>
    <row r="4" customFormat="false" ht="17.15" hidden="false" customHeight="false" outlineLevel="0" collapsed="false">
      <c r="A4" s="14" t="s">
        <v>89</v>
      </c>
      <c r="B4" s="14" t="s">
        <v>90</v>
      </c>
      <c r="C4" s="14" t="s">
        <v>91</v>
      </c>
      <c r="D4" s="14" t="s">
        <v>92</v>
      </c>
      <c r="E4" s="14" t="s">
        <v>40</v>
      </c>
      <c r="F4" s="14" t="s">
        <v>6</v>
      </c>
      <c r="G4" s="14" t="s">
        <v>93</v>
      </c>
    </row>
    <row r="5" customFormat="false" ht="32.8" hidden="false" customHeight="false" outlineLevel="0" collapsed="false">
      <c r="A5" s="35" t="s">
        <v>94</v>
      </c>
      <c r="B5" s="35" t="s">
        <v>95</v>
      </c>
      <c r="C5" s="35" t="s">
        <v>96</v>
      </c>
      <c r="D5" s="36" t="s">
        <v>97</v>
      </c>
      <c r="E5" s="36" t="s">
        <v>98</v>
      </c>
      <c r="F5" s="36" t="s">
        <v>99</v>
      </c>
      <c r="G5" s="35" t="s">
        <v>100</v>
      </c>
    </row>
    <row r="6" customFormat="false" ht="32.8" hidden="false" customHeight="false" outlineLevel="0" collapsed="false">
      <c r="A6" s="35" t="s">
        <v>101</v>
      </c>
      <c r="B6" s="35" t="s">
        <v>102</v>
      </c>
      <c r="C6" s="35" t="s">
        <v>103</v>
      </c>
      <c r="D6" s="36" t="s">
        <v>104</v>
      </c>
      <c r="E6" s="36" t="s">
        <v>105</v>
      </c>
      <c r="F6" s="36" t="s">
        <v>106</v>
      </c>
      <c r="G6" s="35" t="s">
        <v>107</v>
      </c>
    </row>
    <row r="7" customFormat="false" ht="32.8" hidden="false" customHeight="false" outlineLevel="0" collapsed="false">
      <c r="A7" s="35" t="s">
        <v>108</v>
      </c>
      <c r="B7" s="35" t="s">
        <v>109</v>
      </c>
      <c r="C7" s="35" t="s">
        <v>110</v>
      </c>
      <c r="D7" s="36" t="s">
        <v>111</v>
      </c>
      <c r="E7" s="36" t="s">
        <v>112</v>
      </c>
      <c r="F7" s="36" t="s">
        <v>113</v>
      </c>
      <c r="G7" s="35" t="s">
        <v>114</v>
      </c>
    </row>
    <row r="9" customFormat="false" ht="15" hidden="false" customHeight="false" outlineLevel="0" collapsed="false">
      <c r="A9" s="10" t="s">
        <v>115</v>
      </c>
    </row>
    <row r="10" customFormat="false" ht="17.15" hidden="false" customHeight="false" outlineLevel="0" collapsed="false">
      <c r="A10" s="0" t="s">
        <v>116</v>
      </c>
    </row>
    <row r="11" customFormat="false" ht="17.15" hidden="false" customHeight="false" outlineLevel="0" collapsed="false">
      <c r="A11" s="0" t="s">
        <v>117</v>
      </c>
    </row>
    <row r="12" customFormat="false" ht="17.15" hidden="false" customHeight="false" outlineLevel="0" collapsed="false">
      <c r="A12" s="0" t="s">
        <v>118</v>
      </c>
    </row>
    <row r="14" customFormat="false" ht="15" hidden="false" customHeight="false" outlineLevel="0" collapsed="false">
      <c r="A14" s="37" t="s">
        <v>119</v>
      </c>
    </row>
    <row r="15" customFormat="false" ht="17.15" hidden="false" customHeight="false" outlineLevel="0" collapsed="false">
      <c r="A15" s="0" t="s">
        <v>120</v>
      </c>
    </row>
    <row r="16" customFormat="false" ht="17.15" hidden="false" customHeight="false" outlineLevel="0" collapsed="false">
      <c r="A16" s="0" t="s">
        <v>121</v>
      </c>
    </row>
    <row r="17" customFormat="false" ht="17.15" hidden="false" customHeight="false" outlineLevel="0" collapsed="false">
      <c r="A17" s="0" t="s">
        <v>122</v>
      </c>
    </row>
    <row r="18" customFormat="false" ht="17.15" hidden="false" customHeight="false" outlineLevel="0" collapsed="false">
      <c r="A18" s="0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2026-10-08T20:51:53Z</dcterms:created>
  <dc:creator>openpyxl</dc:creator>
  <dc:description/>
  <dc:language>en-US</dc:language>
  <cp:lastModifiedBy/>
  <dcterms:modified xsi:type="dcterms:W3CDTF">2026-10-08T20:51:53Z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