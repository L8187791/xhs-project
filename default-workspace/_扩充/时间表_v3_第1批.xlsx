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总表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'秋招总表'!$A$4:$O$71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color rgb="00808080"/>
      <sz val="9"/>
    </font>
    <font>
      <b val="1"/>
      <color rgb="00FFFFFF"/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D9D9D9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11" customWidth="1" min="8" max="8"/>
    <col width="13" customWidth="1" min="9" max="9"/>
    <col width="10" customWidth="1" min="10" max="10"/>
    <col width="26" customWidth="1" min="11" max="11"/>
    <col width="34" customWidth="1" min="12" max="12"/>
    <col width="11" customWidth="1" min="13" max="13"/>
    <col width="16" customWidth="1" min="14" max="14"/>
    <col width="20" customWidth="1" min="15" max="15"/>
  </cols>
  <sheetData>
    <row r="1">
      <c r="A1" s="1" t="inlineStr">
        <is>
          <t>2027 届秋招网申截止时间表</t>
        </is>
      </c>
    </row>
    <row r="2">
      <c r="A2" s="2" t="inlineStr">
        <is>
          <t>红=7天内截止 · 橙=8–15天内 · 灰=已截止　｜　每行标注核验日期、核实状态与数据来源　｜　共 67 家企业（2026-10-08 定版）</t>
        </is>
      </c>
    </row>
    <row r="4">
      <c r="A4" s="3" t="inlineStr">
        <is>
          <t>序号</t>
        </is>
      </c>
      <c r="B4" s="3" t="inlineStr">
        <is>
          <t>企业名称</t>
        </is>
      </c>
      <c r="C4" s="3" t="inlineStr">
        <is>
          <t>行业分类</t>
        </is>
      </c>
      <c r="D4" s="3" t="inlineStr">
        <is>
          <t>企业性质</t>
        </is>
      </c>
      <c r="E4" s="3" t="inlineStr">
        <is>
          <t>批次</t>
        </is>
      </c>
      <c r="F4" s="3" t="inlineStr">
        <is>
          <t>招聘方向</t>
        </is>
      </c>
      <c r="G4" s="3" t="inlineStr">
        <is>
          <t>工作地点</t>
        </is>
      </c>
      <c r="H4" s="3" t="inlineStr">
        <is>
          <t>学历要求</t>
        </is>
      </c>
      <c r="I4" s="3" t="inlineStr">
        <is>
          <t>网申截止日期</t>
        </is>
      </c>
      <c r="J4" s="3" t="inlineStr">
        <is>
          <t>剩余天数</t>
        </is>
      </c>
      <c r="K4" s="3" t="inlineStr">
        <is>
          <t>投递入口</t>
        </is>
      </c>
      <c r="L4" s="3" t="inlineStr">
        <is>
          <t>备注</t>
        </is>
      </c>
      <c r="M4" s="3" t="inlineStr">
        <is>
          <t>核验日期</t>
        </is>
      </c>
      <c r="N4" s="3" t="inlineStr">
        <is>
          <t>核实状态</t>
        </is>
      </c>
      <c r="O4" s="3" t="inlineStr">
        <is>
          <t>数据来源</t>
        </is>
      </c>
    </row>
    <row r="5">
      <c r="A5" s="4" t="n">
        <v>1</v>
      </c>
      <c r="B5" s="4" t="inlineStr">
        <is>
          <t>vivo</t>
        </is>
      </c>
      <c r="C5" s="4" t="inlineStr">
        <is>
          <t>科技/硬件</t>
        </is>
      </c>
      <c r="D5" s="4" t="inlineStr">
        <is>
          <t>民企</t>
        </is>
      </c>
      <c r="E5" s="4" t="inlineStr">
        <is>
          <t>正式批</t>
        </is>
      </c>
      <c r="F5" s="5" t="inlineStr">
        <is>
          <t>软件/硬件/影像/产品</t>
        </is>
      </c>
      <c r="G5" s="5" t="inlineStr">
        <is>
          <t>东莞/深圳</t>
        </is>
      </c>
      <c r="H5" s="4" t="inlineStr">
        <is>
          <t>本科及以上</t>
        </is>
      </c>
      <c r="I5" s="6" t="n">
        <v>46280</v>
      </c>
      <c r="J5" s="4">
        <f>IF(ISNUMBER($I5),IF($I5&lt;TODAY(),"已截止",$I5-TODAY()),$I5&amp;"")</f>
        <v/>
      </c>
      <c r="K5" s="5" t="inlineStr">
        <is>
          <t>hr.vivo.com.cn</t>
        </is>
      </c>
      <c r="L5" s="5" t="inlineStr">
        <is>
          <t>网申截至9/15 12:00（已截止）</t>
        </is>
      </c>
      <c r="M5" s="6" t="inlineStr">
        <is>
          <t>2026-10-08</t>
        </is>
      </c>
      <c r="N5" s="4" t="inlineStr">
        <is>
          <t>官网原文</t>
        </is>
      </c>
      <c r="O5" s="5" t="inlineStr">
        <is>
          <t>官方/就业网(2026-10-08)</t>
        </is>
      </c>
    </row>
    <row r="6">
      <c r="A6" s="4" t="n">
        <v>2</v>
      </c>
      <c r="B6" s="4" t="inlineStr">
        <is>
          <t>宝洁</t>
        </is>
      </c>
      <c r="C6" s="4" t="inlineStr">
        <is>
          <t>快消</t>
        </is>
      </c>
      <c r="D6" s="4" t="inlineStr">
        <is>
          <t>外企</t>
        </is>
      </c>
      <c r="E6" s="4" t="inlineStr">
        <is>
          <t>正式批</t>
        </is>
      </c>
      <c r="F6" s="5" t="inlineStr">
        <is>
          <t>市场/品牌/供应链/研发</t>
        </is>
      </c>
      <c r="G6" s="5" t="inlineStr">
        <is>
          <t>广州等</t>
        </is>
      </c>
      <c r="H6" s="4" t="inlineStr">
        <is>
          <t>本科及以上</t>
        </is>
      </c>
      <c r="I6" s="6" t="n">
        <v>46293</v>
      </c>
      <c r="J6" s="4">
        <f>IF(ISNUMBER($I6),IF($I6&lt;TODAY(),"已截止",$I6-TODAY()),$I6&amp;"")</f>
        <v/>
      </c>
      <c r="K6" s="5" t="inlineStr">
        <is>
          <t>见招聘官网/公众号</t>
        </is>
      </c>
      <c r="L6" s="5" t="inlineStr">
        <is>
          <t>网申截止9/28（已截止）</t>
        </is>
      </c>
      <c r="M6" s="6" t="inlineStr">
        <is>
          <t>2026-10-08</t>
        </is>
      </c>
      <c r="N6" s="4" t="inlineStr">
        <is>
          <t>就业网转发</t>
        </is>
      </c>
      <c r="O6" s="5" t="inlineStr">
        <is>
          <t>官方/就业网(2026-10-08)</t>
        </is>
      </c>
    </row>
    <row r="7">
      <c r="A7" s="4" t="n">
        <v>3</v>
      </c>
      <c r="B7" s="4" t="inlineStr">
        <is>
          <t>国家能源集团</t>
        </is>
      </c>
      <c r="C7" s="4" t="inlineStr">
        <is>
          <t>国企/央企</t>
        </is>
      </c>
      <c r="D7" s="4" t="inlineStr">
        <is>
          <t>央企</t>
        </is>
      </c>
      <c r="E7" s="4" t="inlineStr">
        <is>
          <t>正式批</t>
        </is>
      </c>
      <c r="F7" s="5" t="inlineStr">
        <is>
          <t>能源/电气/机械/计算机</t>
        </is>
      </c>
      <c r="G7" s="5" t="inlineStr">
        <is>
          <t>全国</t>
        </is>
      </c>
      <c r="H7" s="4" t="inlineStr">
        <is>
          <t>本科及以上</t>
        </is>
      </c>
      <c r="I7" s="6" t="n">
        <v>46302</v>
      </c>
      <c r="J7" s="4">
        <f>IF(ISNUMBER($I7),IF($I7&lt;TODAY(),"已截止",$I7-TODAY()),$I7&amp;"")</f>
        <v/>
      </c>
      <c r="K7" s="5" t="inlineStr">
        <is>
          <t>zhaopin.chnenergy.com.cn</t>
        </is>
      </c>
      <c r="L7" s="5" t="inlineStr">
        <is>
          <t>统招9/2–10/7；直招批9/19已截止</t>
        </is>
      </c>
      <c r="M7" s="6" t="inlineStr">
        <is>
          <t>2026-10-08</t>
        </is>
      </c>
      <c r="N7" s="4" t="inlineStr">
        <is>
          <t>官网原文</t>
        </is>
      </c>
      <c r="O7" s="5" t="inlineStr">
        <is>
          <t>官方/就业网(2026-10-08)</t>
        </is>
      </c>
    </row>
    <row r="8">
      <c r="A8" s="4" t="n">
        <v>4</v>
      </c>
      <c r="B8" s="4" t="inlineStr">
        <is>
          <t>邮储银行</t>
        </is>
      </c>
      <c r="C8" s="4" t="inlineStr">
        <is>
          <t>银行</t>
        </is>
      </c>
      <c r="D8" s="4" t="inlineStr">
        <is>
          <t>国有六大行</t>
        </is>
      </c>
      <c r="E8" s="4" t="inlineStr">
        <is>
          <t>正式批</t>
        </is>
      </c>
      <c r="F8" s="5" t="inlineStr">
        <is>
          <t>金融/计算机/多专业</t>
        </is>
      </c>
      <c r="G8" s="5" t="inlineStr">
        <is>
          <t>全国</t>
        </is>
      </c>
      <c r="H8" s="4" t="inlineStr">
        <is>
          <t>本科及以上</t>
        </is>
      </c>
      <c r="I8" s="6" t="n">
        <v>46302</v>
      </c>
      <c r="J8" s="4">
        <f>IF(ISNUMBER($I8),IF($I8&lt;TODAY(),"已截止",$I8-TODAY()),$I8&amp;"")</f>
        <v/>
      </c>
      <c r="K8" s="5" t="inlineStr">
        <is>
          <t>career.psbc.com</t>
        </is>
      </c>
      <c r="L8" s="5" t="inlineStr">
        <is>
          <t>总行/一级分行统一10/7 24:00</t>
        </is>
      </c>
      <c r="M8" s="6" t="inlineStr">
        <is>
          <t>2026-10-08</t>
        </is>
      </c>
      <c r="N8" s="4" t="inlineStr">
        <is>
          <t>官网原文</t>
        </is>
      </c>
      <c r="O8" s="5" t="inlineStr">
        <is>
          <t>官方/就业网(2026-10-08)</t>
        </is>
      </c>
    </row>
    <row r="9">
      <c r="A9" s="4" t="n">
        <v>5</v>
      </c>
      <c r="B9" s="4" t="inlineStr">
        <is>
          <t>国家开发银行</t>
        </is>
      </c>
      <c r="C9" s="4" t="inlineStr">
        <is>
          <t>银行</t>
        </is>
      </c>
      <c r="D9" s="4" t="inlineStr">
        <is>
          <t>政策性</t>
        </is>
      </c>
      <c r="E9" s="4" t="inlineStr">
        <is>
          <t>正式批</t>
        </is>
      </c>
      <c r="F9" s="5" t="inlineStr">
        <is>
          <t>经济金融/计算机</t>
        </is>
      </c>
      <c r="G9" s="5" t="inlineStr">
        <is>
          <t>全国</t>
        </is>
      </c>
      <c r="H9" s="4" t="inlineStr">
        <is>
          <t>本科及以上</t>
        </is>
      </c>
      <c r="I9" s="6" t="n">
        <v>46302</v>
      </c>
      <c r="J9" s="4">
        <f>IF(ISNUMBER($I9),IF($I9&lt;TODAY(),"已截止",$I9-TODAY()),$I9&amp;"")</f>
        <v/>
      </c>
      <c r="K9" s="5" t="inlineStr">
        <is>
          <t>cdb.com.cn</t>
        </is>
      </c>
      <c r="L9" s="5" t="inlineStr">
        <is>
          <t>总行及分行统一10/7 24:00</t>
        </is>
      </c>
      <c r="M9" s="6" t="inlineStr">
        <is>
          <t>2026-10-08</t>
        </is>
      </c>
      <c r="N9" s="4" t="inlineStr">
        <is>
          <t>官网原文</t>
        </is>
      </c>
      <c r="O9" s="5" t="inlineStr">
        <is>
          <t>官方/就业网(2026-10-08)</t>
        </is>
      </c>
    </row>
    <row r="10">
      <c r="A10" s="4" t="n">
        <v>6</v>
      </c>
      <c r="B10" s="4" t="inlineStr">
        <is>
          <t>中国移动</t>
        </is>
      </c>
      <c r="C10" s="4" t="inlineStr">
        <is>
          <t>国企/央企</t>
        </is>
      </c>
      <c r="D10" s="4" t="inlineStr">
        <is>
          <t>央企</t>
        </is>
      </c>
      <c r="E10" s="4" t="inlineStr">
        <is>
          <t>正式批</t>
        </is>
      </c>
      <c r="F10" s="5" t="inlineStr">
        <is>
          <t>通信/计算机/大数据/财会</t>
        </is>
      </c>
      <c r="G10" s="5" t="inlineStr">
        <is>
          <t>全国</t>
        </is>
      </c>
      <c r="H10" s="4" t="inlineStr">
        <is>
          <t>本科及以上</t>
        </is>
      </c>
      <c r="I10" s="6" t="n">
        <v>46303</v>
      </c>
      <c r="J10" s="4">
        <f>IF(ISNUMBER($I10),IF($I10&lt;TODAY(),"已截止",$I10-TODAY()),$I10&amp;"")</f>
        <v/>
      </c>
      <c r="K10" s="5" t="inlineStr">
        <is>
          <t>见招聘官网/公众号</t>
        </is>
      </c>
      <c r="L10" s="5" t="inlineStr">
        <is>
          <t>集团无统一截止，各分公司10月上旬–中旬（陕10/8、晋10/11、赣10/15）</t>
        </is>
      </c>
      <c r="M10" s="6" t="inlineStr">
        <is>
          <t>2026-10-08</t>
        </is>
      </c>
      <c r="N10" s="4" t="inlineStr">
        <is>
          <t>官网原文</t>
        </is>
      </c>
      <c r="O10" s="5" t="inlineStr">
        <is>
          <t>官方/就业网(2026-10-08)</t>
        </is>
      </c>
    </row>
    <row r="11">
      <c r="A11" s="4" t="n">
        <v>7</v>
      </c>
      <c r="B11" s="4" t="inlineStr">
        <is>
          <t>中国工商银行</t>
        </is>
      </c>
      <c r="C11" s="4" t="inlineStr">
        <is>
          <t>银行</t>
        </is>
      </c>
      <c r="D11" s="4" t="inlineStr">
        <is>
          <t>国有六大行</t>
        </is>
      </c>
      <c r="E11" s="4" t="inlineStr">
        <is>
          <t>正式批</t>
        </is>
      </c>
      <c r="F11" s="5" t="inlineStr">
        <is>
          <t>经济金融/财会/计算机/法学/管理</t>
        </is>
      </c>
      <c r="G11" s="5" t="inlineStr">
        <is>
          <t>全国</t>
        </is>
      </c>
      <c r="H11" s="4" t="inlineStr">
        <is>
          <t>本科及以上</t>
        </is>
      </c>
      <c r="I11" s="6" t="n">
        <v>46303</v>
      </c>
      <c r="J11" s="4">
        <f>IF(ISNUMBER($I11),IF($I11&lt;TODAY(),"已截止",$I11-TODAY()),$I11&amp;"")</f>
        <v/>
      </c>
      <c r="K11" s="5" t="inlineStr">
        <is>
          <t>job.icbc.com.cn</t>
        </is>
      </c>
      <c r="L11" s="5" t="inlineStr">
        <is>
          <t>网申9/4–10/8 24:00</t>
        </is>
      </c>
      <c r="M11" s="6" t="inlineStr">
        <is>
          <t>2026-10-08</t>
        </is>
      </c>
      <c r="N11" s="4" t="inlineStr">
        <is>
          <t>官网原文</t>
        </is>
      </c>
      <c r="O11" s="5" t="inlineStr">
        <is>
          <t>官方/就业网(2026-10-08)</t>
        </is>
      </c>
    </row>
    <row r="12">
      <c r="A12" s="4" t="n">
        <v>8</v>
      </c>
      <c r="B12" s="4" t="inlineStr">
        <is>
          <t>中国农业银行</t>
        </is>
      </c>
      <c r="C12" s="4" t="inlineStr">
        <is>
          <t>银行</t>
        </is>
      </c>
      <c r="D12" s="4" t="inlineStr">
        <is>
          <t>国有六大行</t>
        </is>
      </c>
      <c r="E12" s="4" t="inlineStr">
        <is>
          <t>正式批</t>
        </is>
      </c>
      <c r="F12" s="5" t="inlineStr">
        <is>
          <t>经济金融/财会/计算机</t>
        </is>
      </c>
      <c r="G12" s="5" t="inlineStr">
        <is>
          <t>全国</t>
        </is>
      </c>
      <c r="H12" s="4" t="inlineStr">
        <is>
          <t>本科及以上</t>
        </is>
      </c>
      <c r="I12" s="6" t="n">
        <v>46303</v>
      </c>
      <c r="J12" s="4">
        <f>IF(ISNUMBER($I12),IF($I12&lt;TODAY(),"已截止",$I12-TODAY()),$I12&amp;"")</f>
        <v/>
      </c>
      <c r="K12" s="5" t="inlineStr">
        <is>
          <t>career.abchina.com</t>
        </is>
      </c>
      <c r="L12" s="5" t="inlineStr">
        <is>
          <t>即日起–10/8 24:00</t>
        </is>
      </c>
      <c r="M12" s="6" t="inlineStr">
        <is>
          <t>2026-10-08</t>
        </is>
      </c>
      <c r="N12" s="4" t="inlineStr">
        <is>
          <t>官网原文</t>
        </is>
      </c>
      <c r="O12" s="5" t="inlineStr">
        <is>
          <t>官方/就业网(2026-10-08)</t>
        </is>
      </c>
    </row>
    <row r="13">
      <c r="A13" s="4" t="n">
        <v>9</v>
      </c>
      <c r="B13" s="4" t="inlineStr">
        <is>
          <t>中国建设银行</t>
        </is>
      </c>
      <c r="C13" s="4" t="inlineStr">
        <is>
          <t>银行</t>
        </is>
      </c>
      <c r="D13" s="4" t="inlineStr">
        <is>
          <t>国有六大行</t>
        </is>
      </c>
      <c r="E13" s="4" t="inlineStr">
        <is>
          <t>正式批</t>
        </is>
      </c>
      <c r="F13" s="5" t="inlineStr">
        <is>
          <t>经济金融/财会/计算机</t>
        </is>
      </c>
      <c r="G13" s="5" t="inlineStr">
        <is>
          <t>全国</t>
        </is>
      </c>
      <c r="H13" s="4" t="inlineStr">
        <is>
          <t>本科及以上</t>
        </is>
      </c>
      <c r="I13" s="6" t="n">
        <v>46303</v>
      </c>
      <c r="J13" s="4">
        <f>IF(ISNUMBER($I13),IF($I13&lt;TODAY(),"已截止",$I13-TODAY()),$I13&amp;"")</f>
        <v/>
      </c>
      <c r="K13" s="5" t="inlineStr">
        <is>
          <t>job.ccb.com</t>
        </is>
      </c>
      <c r="L13" s="5" t="inlineStr">
        <is>
          <t>报名截止10/8 24:00</t>
        </is>
      </c>
      <c r="M13" s="6" t="inlineStr">
        <is>
          <t>2026-10-08</t>
        </is>
      </c>
      <c r="N13" s="4" t="inlineStr">
        <is>
          <t>官网原文</t>
        </is>
      </c>
      <c r="O13" s="5" t="inlineStr">
        <is>
          <t>官方/就业网(2026-10-08)</t>
        </is>
      </c>
    </row>
    <row r="14">
      <c r="A14" s="4" t="n">
        <v>10</v>
      </c>
      <c r="B14" s="4" t="inlineStr">
        <is>
          <t>浦发银行</t>
        </is>
      </c>
      <c r="C14" s="4" t="inlineStr">
        <is>
          <t>银行</t>
        </is>
      </c>
      <c r="D14" s="4" t="inlineStr">
        <is>
          <t>股份制</t>
        </is>
      </c>
      <c r="E14" s="4" t="inlineStr">
        <is>
          <t>正式批</t>
        </is>
      </c>
      <c r="F14" s="5" t="inlineStr">
        <is>
          <t>金融/计算机</t>
        </is>
      </c>
      <c r="G14" s="5" t="inlineStr">
        <is>
          <t>全国</t>
        </is>
      </c>
      <c r="H14" s="4" t="inlineStr">
        <is>
          <t>本科及以上</t>
        </is>
      </c>
      <c r="I14" s="6" t="n">
        <v>46303</v>
      </c>
      <c r="J14" s="4">
        <f>IF(ISNUMBER($I14),IF($I14&lt;TODAY(),"已截止",$I14-TODAY()),$I14&amp;"")</f>
        <v/>
      </c>
      <c r="K14" s="5" t="inlineStr">
        <is>
          <t>job.spdb.com.cn</t>
        </is>
      </c>
      <c r="L14" s="5" t="inlineStr">
        <is>
          <t>报名截止10/8 18:00</t>
        </is>
      </c>
      <c r="M14" s="6" t="inlineStr">
        <is>
          <t>2026-10-08</t>
        </is>
      </c>
      <c r="N14" s="4" t="inlineStr">
        <is>
          <t>就业网转发</t>
        </is>
      </c>
      <c r="O14" s="5" t="inlineStr">
        <is>
          <t>官方/就业网(2026-10-08)</t>
        </is>
      </c>
    </row>
    <row r="15">
      <c r="A15" s="4" t="n">
        <v>11</v>
      </c>
      <c r="B15" s="4" t="inlineStr">
        <is>
          <t>微软中国</t>
        </is>
      </c>
      <c r="C15" s="4" t="inlineStr">
        <is>
          <t>科技/硬件</t>
        </is>
      </c>
      <c r="D15" s="4" t="inlineStr">
        <is>
          <t>外企</t>
        </is>
      </c>
      <c r="E15" s="4" t="inlineStr">
        <is>
          <t>正式批</t>
        </is>
      </c>
      <c r="F15" s="5" t="inlineStr">
        <is>
          <t>研发/产品/技术支持</t>
        </is>
      </c>
      <c r="G15" s="5" t="inlineStr">
        <is>
          <t>北京/上海/苏州</t>
        </is>
      </c>
      <c r="H15" s="4" t="inlineStr">
        <is>
          <t>本科及以上</t>
        </is>
      </c>
      <c r="I15" s="6" t="n">
        <v>46303</v>
      </c>
      <c r="J15" s="4">
        <f>IF(ISNUMBER($I15),IF($I15&lt;TODAY(),"已截止",$I15-TODAY()),$I15&amp;"")</f>
        <v/>
      </c>
      <c r="K15" s="5" t="inlineStr">
        <is>
          <t>careers.microsoft.com</t>
        </is>
      </c>
      <c r="L15" s="5" t="inlineStr">
        <is>
          <t>亚太研发岗10/8 23:59；MSRA 10/31</t>
        </is>
      </c>
      <c r="M15" s="6" t="inlineStr">
        <is>
          <t>2026-10-08</t>
        </is>
      </c>
      <c r="N15" s="4" t="inlineStr">
        <is>
          <t>官网原文</t>
        </is>
      </c>
      <c r="O15" s="5" t="inlineStr">
        <is>
          <t>官方/就业网(2026-10-08)</t>
        </is>
      </c>
    </row>
    <row r="16">
      <c r="A16" s="4" t="n">
        <v>12</v>
      </c>
      <c r="B16" s="4" t="inlineStr">
        <is>
          <t>中国银行</t>
        </is>
      </c>
      <c r="C16" s="4" t="inlineStr">
        <is>
          <t>银行</t>
        </is>
      </c>
      <c r="D16" s="4" t="inlineStr">
        <is>
          <t>国有六大行</t>
        </is>
      </c>
      <c r="E16" s="4" t="inlineStr">
        <is>
          <t>正式批</t>
        </is>
      </c>
      <c r="F16" s="5" t="inlineStr">
        <is>
          <t>经济金融/财会/计算机</t>
        </is>
      </c>
      <c r="G16" s="5" t="inlineStr">
        <is>
          <t>全国</t>
        </is>
      </c>
      <c r="H16" s="4" t="inlineStr">
        <is>
          <t>本科及以上</t>
        </is>
      </c>
      <c r="I16" s="6" t="n">
        <v>46304</v>
      </c>
      <c r="J16" s="4">
        <f>IF(ISNUMBER($I16),IF($I16&lt;TODAY(),"已截止",$I16-TODAY()),$I16&amp;"")</f>
        <v/>
      </c>
      <c r="K16" s="5" t="inlineStr">
        <is>
          <t>career.boc.cn</t>
        </is>
      </c>
      <c r="L16" s="5" t="inlineStr">
        <is>
          <t>投递截止10/9 24:00（中行官网公告9/3发布），笔试10月下旬</t>
        </is>
      </c>
      <c r="M16" s="6" t="inlineStr">
        <is>
          <t>2026-10-09</t>
        </is>
      </c>
      <c r="N16" s="4" t="inlineStr">
        <is>
          <t>官网已核验-今日截止</t>
        </is>
      </c>
      <c r="O16" s="5" t="inlineStr">
        <is>
          <t>官方/就业网(2026-10-08)</t>
        </is>
      </c>
    </row>
    <row r="17">
      <c r="A17" s="4" t="n">
        <v>13</v>
      </c>
      <c r="B17" s="4" t="inlineStr">
        <is>
          <t>中信银行</t>
        </is>
      </c>
      <c r="C17" s="4" t="inlineStr">
        <is>
          <t>银行</t>
        </is>
      </c>
      <c r="D17" s="4" t="inlineStr">
        <is>
          <t>股份制</t>
        </is>
      </c>
      <c r="E17" s="4" t="inlineStr">
        <is>
          <t>正式批</t>
        </is>
      </c>
      <c r="F17" s="5" t="inlineStr">
        <is>
          <t>金融/计算机</t>
        </is>
      </c>
      <c r="G17" s="5" t="inlineStr">
        <is>
          <t>全国</t>
        </is>
      </c>
      <c r="H17" s="4" t="inlineStr">
        <is>
          <t>本科及以上</t>
        </is>
      </c>
      <c r="I17" s="6" t="n">
        <v>46304</v>
      </c>
      <c r="J17" s="4">
        <f>IF(ISNUMBER($I17),IF($I17&lt;TODAY(),"已截止",$I17-TODAY()),$I17&amp;"")</f>
        <v/>
      </c>
      <c r="K17" s="5" t="inlineStr">
        <is>
          <t>job.citicbank.com</t>
        </is>
      </c>
      <c r="L17" s="5" t="inlineStr">
        <is>
          <t>简历接收截止暂定10/9（中信官网原文口径）</t>
        </is>
      </c>
      <c r="M17" s="6" t="inlineStr">
        <is>
          <t>2026-10-09</t>
        </is>
      </c>
      <c r="N17" s="4" t="inlineStr">
        <is>
          <t>官网已核验-今日截止</t>
        </is>
      </c>
      <c r="O17" s="5" t="inlineStr">
        <is>
          <t>官方/就业网(2026-10-08)</t>
        </is>
      </c>
    </row>
    <row r="18">
      <c r="A18" s="4" t="n">
        <v>14</v>
      </c>
      <c r="B18" s="4" t="inlineStr">
        <is>
          <t>招商银行</t>
        </is>
      </c>
      <c r="C18" s="4" t="inlineStr">
        <is>
          <t>银行</t>
        </is>
      </c>
      <c r="D18" s="4" t="inlineStr">
        <is>
          <t>股份制</t>
        </is>
      </c>
      <c r="E18" s="4" t="inlineStr">
        <is>
          <t>正式批</t>
        </is>
      </c>
      <c r="F18" s="5" t="inlineStr">
        <is>
          <t>金融/计算机</t>
        </is>
      </c>
      <c r="G18" s="5" t="inlineStr">
        <is>
          <t>全国</t>
        </is>
      </c>
      <c r="H18" s="4" t="inlineStr">
        <is>
          <t>本科及以上</t>
        </is>
      </c>
      <c r="I18" s="6" t="n">
        <v>46305</v>
      </c>
      <c r="J18" s="4">
        <f>IF(ISNUMBER($I18),IF($I18&lt;TODAY(),"已截止",$I18-TODAY()),$I18&amp;"")</f>
        <v/>
      </c>
      <c r="K18" s="5" t="inlineStr">
        <is>
          <t>career.cmbchina.com</t>
        </is>
      </c>
      <c r="L18" s="5" t="inlineStr">
        <is>
          <t>总行及分行统一10/10 23:59</t>
        </is>
      </c>
      <c r="M18" s="6" t="inlineStr">
        <is>
          <t>2026-10-08</t>
        </is>
      </c>
      <c r="N18" s="4" t="inlineStr">
        <is>
          <t>官网原文</t>
        </is>
      </c>
      <c r="O18" s="5" t="inlineStr">
        <is>
          <t>官方/就业网(2026-10-08)</t>
        </is>
      </c>
    </row>
    <row r="19">
      <c r="A19" s="4" t="n">
        <v>15</v>
      </c>
      <c r="B19" s="4" t="inlineStr">
        <is>
          <t>中国农业发展银行</t>
        </is>
      </c>
      <c r="C19" s="4" t="inlineStr">
        <is>
          <t>银行</t>
        </is>
      </c>
      <c r="D19" s="4" t="inlineStr">
        <is>
          <t>政策性</t>
        </is>
      </c>
      <c r="E19" s="4" t="inlineStr">
        <is>
          <t>正式批</t>
        </is>
      </c>
      <c r="F19" s="5" t="inlineStr">
        <is>
          <t>经济金融</t>
        </is>
      </c>
      <c r="G19" s="5" t="inlineStr">
        <is>
          <t>全国</t>
        </is>
      </c>
      <c r="H19" s="4" t="inlineStr">
        <is>
          <t>本科及以上</t>
        </is>
      </c>
      <c r="I19" s="6" t="n">
        <v>46306</v>
      </c>
      <c r="J19" s="4">
        <f>IF(ISNUMBER($I19),IF($I19&lt;TODAY(),"已截止",$I19-TODAY()),$I19&amp;"")</f>
        <v/>
      </c>
      <c r="K19" s="5" t="inlineStr">
        <is>
          <t>adbc.com.cn</t>
        </is>
      </c>
      <c r="L19" s="5" t="inlineStr">
        <is>
          <t>网申9/15–10/11 24:00；县支行本科可报</t>
        </is>
      </c>
      <c r="M19" s="6" t="inlineStr">
        <is>
          <t>2026-10-08</t>
        </is>
      </c>
      <c r="N19" s="4" t="inlineStr">
        <is>
          <t>就业网转发</t>
        </is>
      </c>
      <c r="O19" s="5" t="inlineStr">
        <is>
          <t>官方/就业网(2026-10-08)</t>
        </is>
      </c>
    </row>
    <row r="20">
      <c r="A20" s="4" t="n">
        <v>16</v>
      </c>
      <c r="B20" s="4" t="inlineStr">
        <is>
          <t>快手</t>
        </is>
      </c>
      <c r="C20" s="4" t="inlineStr">
        <is>
          <t>互联网</t>
        </is>
      </c>
      <c r="D20" s="4" t="inlineStr">
        <is>
          <t>民企</t>
        </is>
      </c>
      <c r="E20" s="4" t="inlineStr">
        <is>
          <t>正式批</t>
        </is>
      </c>
      <c r="F20" s="5" t="inlineStr">
        <is>
          <t>技术/产品/运营/设计/商分</t>
        </is>
      </c>
      <c r="G20" s="5" t="inlineStr">
        <is>
          <t>北京/杭州/深圳</t>
        </is>
      </c>
      <c r="H20" s="4" t="inlineStr">
        <is>
          <t>本科及以上</t>
        </is>
      </c>
      <c r="I20" s="6" t="n">
        <v>46307</v>
      </c>
      <c r="J20" s="4">
        <f>IF(ISNUMBER($I20),IF($I20&lt;TODAY(),"已截止",$I20-TODAY()),$I20&amp;"")</f>
        <v/>
      </c>
      <c r="K20" s="5" t="inlineStr">
        <is>
          <t>campus.kuaishou.com</t>
        </is>
      </c>
      <c r="L20" s="5" t="inlineStr">
        <is>
          <t>网申截止10/12（就业网口径）</t>
        </is>
      </c>
      <c r="M20" s="6" t="inlineStr">
        <is>
          <t>2026-10-08</t>
        </is>
      </c>
      <c r="N20" s="4" t="inlineStr">
        <is>
          <t>就业网转发</t>
        </is>
      </c>
      <c r="O20" s="5" t="inlineStr">
        <is>
          <t>官方/就业网(2026-10-08)</t>
        </is>
      </c>
    </row>
    <row r="21">
      <c r="A21" s="4" t="n">
        <v>17</v>
      </c>
      <c r="B21" s="4" t="inlineStr">
        <is>
          <t>联合利华</t>
        </is>
      </c>
      <c r="C21" s="4" t="inlineStr">
        <is>
          <t>快消</t>
        </is>
      </c>
      <c r="D21" s="4" t="inlineStr">
        <is>
          <t>外企</t>
        </is>
      </c>
      <c r="E21" s="4" t="inlineStr">
        <is>
          <t>正式批</t>
        </is>
      </c>
      <c r="F21" s="5" t="inlineStr">
        <is>
          <t>市场/供应链/财务/研发</t>
        </is>
      </c>
      <c r="G21" s="5" t="inlineStr">
        <is>
          <t>上海等</t>
        </is>
      </c>
      <c r="H21" s="4" t="inlineStr">
        <is>
          <t>本科及以上</t>
        </is>
      </c>
      <c r="I21" s="6" t="n">
        <v>46307</v>
      </c>
      <c r="J21" s="4">
        <f>IF(ISNUMBER($I21),IF($I21&lt;TODAY(),"已截止",$I21-TODAY()),$I21&amp;"")</f>
        <v/>
      </c>
      <c r="K21" s="5" t="inlineStr">
        <is>
          <t>见招聘官网/公众号</t>
        </is>
      </c>
      <c r="L21" s="5" t="inlineStr">
        <is>
          <t>网申截止10/12（引用官方微招聘）</t>
        </is>
      </c>
      <c r="M21" s="6" t="inlineStr">
        <is>
          <t>2026-10-08</t>
        </is>
      </c>
      <c r="N21" s="4" t="inlineStr">
        <is>
          <t>第三方汇总</t>
        </is>
      </c>
      <c r="O21" s="5" t="inlineStr">
        <is>
          <t>公开汇总(2026-09~10)</t>
        </is>
      </c>
    </row>
    <row r="22">
      <c r="A22" s="4" t="n">
        <v>18</v>
      </c>
      <c r="B22" s="4" t="inlineStr">
        <is>
          <t>中国石油</t>
        </is>
      </c>
      <c r="C22" s="4" t="inlineStr">
        <is>
          <t>国企/央企</t>
        </is>
      </c>
      <c r="D22" s="4" t="inlineStr">
        <is>
          <t>央企</t>
        </is>
      </c>
      <c r="E22" s="4" t="inlineStr">
        <is>
          <t>正式批</t>
        </is>
      </c>
      <c r="F22" s="5" t="inlineStr">
        <is>
          <t>石油工程/机械/化工/地质</t>
        </is>
      </c>
      <c r="G22" s="5" t="inlineStr">
        <is>
          <t>全国</t>
        </is>
      </c>
      <c r="H22" s="4" t="inlineStr">
        <is>
          <t>本科及以上</t>
        </is>
      </c>
      <c r="I22" s="6" t="n">
        <v>46310</v>
      </c>
      <c r="J22" s="4">
        <f>IF(ISNUMBER($I22),IF($I22&lt;TODAY(),"已截止",$I22-TODAY()),$I22&amp;"")</f>
        <v/>
      </c>
      <c r="K22" s="5" t="inlineStr">
        <is>
          <t>zhaopin.cnpc.com.cn</t>
        </is>
      </c>
      <c r="L22" s="5" t="inlineStr">
        <is>
          <t>网申9/9–10/15</t>
        </is>
      </c>
      <c r="M22" s="6" t="inlineStr">
        <is>
          <t>2026-10-08</t>
        </is>
      </c>
      <c r="N22" s="4" t="inlineStr">
        <is>
          <t>第三方汇总</t>
        </is>
      </c>
      <c r="O22" s="5" t="inlineStr">
        <is>
          <t>公开汇总(2026-09~10)</t>
        </is>
      </c>
    </row>
    <row r="23">
      <c r="A23" s="4" t="n">
        <v>19</v>
      </c>
      <c r="B23" s="4" t="inlineStr">
        <is>
          <t>安永EY</t>
        </is>
      </c>
      <c r="C23" s="4" t="inlineStr">
        <is>
          <t>专业服务</t>
        </is>
      </c>
      <c r="D23" s="4" t="inlineStr">
        <is>
          <t>外企</t>
        </is>
      </c>
      <c r="E23" s="4" t="inlineStr">
        <is>
          <t>正式批</t>
        </is>
      </c>
      <c r="F23" s="5" t="inlineStr">
        <is>
          <t>审计/税务/咨询</t>
        </is>
      </c>
      <c r="G23" s="5" t="inlineStr">
        <is>
          <t>全国主要城市</t>
        </is>
      </c>
      <c r="H23" s="4" t="inlineStr">
        <is>
          <t>本科及以上</t>
        </is>
      </c>
      <c r="I23" s="6" t="n">
        <v>46311</v>
      </c>
      <c r="J23" s="4">
        <f>IF(ISNUMBER($I23),IF($I23&lt;TODAY(),"已截止",$I23-TODAY()),$I23&amp;"")</f>
        <v/>
      </c>
      <c r="K23" s="5" t="inlineStr">
        <is>
          <t>www.ey.com</t>
        </is>
      </c>
      <c r="L23" s="5" t="inlineStr">
        <is>
          <t>网申7/30-10/16</t>
        </is>
      </c>
      <c r="M23" s="6" t="inlineStr">
        <is>
          <t>2026-10-08</t>
        </is>
      </c>
      <c r="N23" s="4" t="inlineStr">
        <is>
          <t>第三方汇总</t>
        </is>
      </c>
      <c r="O23" s="5" t="inlineStr">
        <is>
          <t>公开汇总(2026-10补充)</t>
        </is>
      </c>
    </row>
    <row r="24">
      <c r="A24" s="4" t="n">
        <v>20</v>
      </c>
      <c r="B24" s="4" t="inlineStr">
        <is>
          <t>华为</t>
        </is>
      </c>
      <c r="C24" s="4" t="inlineStr">
        <is>
          <t>科技/硬件</t>
        </is>
      </c>
      <c r="D24" s="4" t="inlineStr">
        <is>
          <t>民企</t>
        </is>
      </c>
      <c r="E24" s="4" t="inlineStr">
        <is>
          <t>正式批</t>
        </is>
      </c>
      <c r="F24" s="5" t="inlineStr">
        <is>
          <t>研发/硬件/供应链/AI</t>
        </is>
      </c>
      <c r="G24" s="5" t="inlineStr">
        <is>
          <t>深圳等</t>
        </is>
      </c>
      <c r="H24" s="4" t="inlineStr">
        <is>
          <t>本硕博</t>
        </is>
      </c>
      <c r="I24" s="6" t="n">
        <v>46312</v>
      </c>
      <c r="J24" s="4">
        <f>IF(ISNUMBER($I24),IF($I24&lt;TODAY(),"已截止",$I24-TODAY()),$I24&amp;"")</f>
        <v/>
      </c>
      <c r="K24" s="5" t="inlineStr">
        <is>
          <t>career.huawei.com</t>
        </is>
      </c>
      <c r="L24" s="5" t="inlineStr">
        <is>
          <t>各BG不同：ICT 10/17、华为云10/21、销售10/5、汽车BU 11/1起</t>
        </is>
      </c>
      <c r="M24" s="6" t="inlineStr">
        <is>
          <t>2026-10-08</t>
        </is>
      </c>
      <c r="N24" s="4" t="inlineStr">
        <is>
          <t>第三方汇总</t>
        </is>
      </c>
      <c r="O24" s="5" t="inlineStr">
        <is>
          <t>公开汇总(2026-09~10)</t>
        </is>
      </c>
    </row>
    <row r="25">
      <c r="A25" s="4" t="n">
        <v>21</v>
      </c>
      <c r="B25" s="4" t="inlineStr">
        <is>
          <t>中国华电</t>
        </is>
      </c>
      <c r="C25" s="4" t="inlineStr">
        <is>
          <t>国企/央企</t>
        </is>
      </c>
      <c r="D25" s="4" t="inlineStr">
        <is>
          <t>央企</t>
        </is>
      </c>
      <c r="E25" s="4" t="inlineStr">
        <is>
          <t>正式批</t>
        </is>
      </c>
      <c r="F25" s="5" t="inlineStr">
        <is>
          <t>电气/能源/机械等</t>
        </is>
      </c>
      <c r="G25" s="5" t="inlineStr">
        <is>
          <t>全国</t>
        </is>
      </c>
      <c r="H25" s="4" t="inlineStr">
        <is>
          <t>本硕博</t>
        </is>
      </c>
      <c r="I25" s="6" t="n">
        <v>46313</v>
      </c>
      <c r="J25" s="4">
        <f>IF(ISNUMBER($I25),IF($I25&lt;TODAY(),"已截止",$I25-TODAY()),$I25&amp;"")</f>
        <v/>
      </c>
      <c r="K25" s="5" t="inlineStr">
        <is>
          <t>见招聘官网/公众号</t>
        </is>
      </c>
      <c r="L25" s="5" t="inlineStr">
        <is>
          <t>青年骏才/华电蓝海第一批10/18 24:00截止</t>
        </is>
      </c>
      <c r="M25" s="6" t="inlineStr">
        <is>
          <t>2026-10-08</t>
        </is>
      </c>
      <c r="N25" s="4" t="inlineStr">
        <is>
          <t>官网原文</t>
        </is>
      </c>
      <c r="O25" s="5" t="inlineStr">
        <is>
          <t>官方/就业网(2026-10-08)</t>
        </is>
      </c>
    </row>
    <row r="26">
      <c r="A26" s="4" t="n">
        <v>22</v>
      </c>
      <c r="B26" s="4" t="inlineStr">
        <is>
          <t>交通银行</t>
        </is>
      </c>
      <c r="C26" s="4" t="inlineStr">
        <is>
          <t>银行</t>
        </is>
      </c>
      <c r="D26" s="4" t="inlineStr">
        <is>
          <t>国有六大行</t>
        </is>
      </c>
      <c r="E26" s="4" t="inlineStr">
        <is>
          <t>正式批</t>
        </is>
      </c>
      <c r="F26" s="5" t="inlineStr">
        <is>
          <t>经济金融/计算机</t>
        </is>
      </c>
      <c r="G26" s="5" t="inlineStr">
        <is>
          <t>全国</t>
        </is>
      </c>
      <c r="H26" s="4" t="inlineStr">
        <is>
          <t>本硕博</t>
        </is>
      </c>
      <c r="I26" s="6" t="n">
        <v>46313</v>
      </c>
      <c r="J26" s="4">
        <f>IF(ISNUMBER($I26),IF($I26&lt;TODAY(),"已截止",$I26-TODAY()),$I26&amp;"")</f>
        <v/>
      </c>
      <c r="K26" s="5" t="inlineStr">
        <is>
          <t>job.bankcomm.com</t>
        </is>
      </c>
      <c r="L26" s="5" t="inlineStr">
        <is>
          <t>简历投递截至10/18</t>
        </is>
      </c>
      <c r="M26" s="6" t="inlineStr">
        <is>
          <t>2026-10-08</t>
        </is>
      </c>
      <c r="N26" s="4" t="inlineStr">
        <is>
          <t>就业网转发</t>
        </is>
      </c>
      <c r="O26" s="5" t="inlineStr">
        <is>
          <t>官方/就业网(2026-10-08)</t>
        </is>
      </c>
    </row>
    <row r="27">
      <c r="A27" s="4" t="n">
        <v>23</v>
      </c>
      <c r="B27" s="4" t="inlineStr">
        <is>
          <t>国家管网</t>
        </is>
      </c>
      <c r="C27" s="4" t="inlineStr">
        <is>
          <t>国企/央企</t>
        </is>
      </c>
      <c r="D27" s="4" t="inlineStr">
        <is>
          <t>央企</t>
        </is>
      </c>
      <c r="E27" s="4" t="inlineStr">
        <is>
          <t>正式批</t>
        </is>
      </c>
      <c r="F27" s="5" t="inlineStr">
        <is>
          <t>油气储运/机械/电气/自动化/信息</t>
        </is>
      </c>
      <c r="G27" s="5" t="inlineStr">
        <is>
          <t>全国</t>
        </is>
      </c>
      <c r="H27" s="4" t="inlineStr">
        <is>
          <t>本科及以上</t>
        </is>
      </c>
      <c r="I27" s="6" t="n">
        <v>46315</v>
      </c>
      <c r="J27" s="4">
        <f>IF(ISNUMBER($I27),IF($I27&lt;TODAY(),"已截止",$I27-TODAY()),$I27&amp;"")</f>
        <v/>
      </c>
      <c r="K27" s="5" t="inlineStr">
        <is>
          <t>见招聘官网/公众号</t>
        </is>
      </c>
      <c r="L27" s="5" t="inlineStr">
        <is>
          <t>网申9/15–10/20 24:00</t>
        </is>
      </c>
      <c r="M27" s="6" t="inlineStr">
        <is>
          <t>2026-10-08</t>
        </is>
      </c>
      <c r="N27" s="4" t="inlineStr">
        <is>
          <t>就业网转发</t>
        </is>
      </c>
      <c r="O27" s="5" t="inlineStr">
        <is>
          <t>官方/就业网(2026-10-08)</t>
        </is>
      </c>
    </row>
    <row r="28">
      <c r="A28" s="4" t="n">
        <v>24</v>
      </c>
      <c r="B28" s="4" t="inlineStr">
        <is>
          <t>网易</t>
        </is>
      </c>
      <c r="C28" s="4" t="inlineStr">
        <is>
          <t>互联网</t>
        </is>
      </c>
      <c r="D28" s="4" t="inlineStr">
        <is>
          <t>民企</t>
        </is>
      </c>
      <c r="E28" s="4" t="inlineStr">
        <is>
          <t>正式批</t>
        </is>
      </c>
      <c r="F28" s="5" t="inlineStr">
        <is>
          <t>技术/产品/设计/运营</t>
        </is>
      </c>
      <c r="G28" s="5" t="inlineStr">
        <is>
          <t>北京/杭州/广州</t>
        </is>
      </c>
      <c r="H28" s="4" t="inlineStr">
        <is>
          <t>本科及以上</t>
        </is>
      </c>
      <c r="I28" s="6" t="n">
        <v>46315</v>
      </c>
      <c r="J28" s="4">
        <f>IF(ISNUMBER($I28),IF($I28&lt;TODAY(),"已截止",$I28-TODAY()),$I28&amp;"")</f>
        <v/>
      </c>
      <c r="K28" s="5" t="inlineStr">
        <is>
          <t>campus.163.com</t>
        </is>
      </c>
      <c r="L28" s="5" t="inlineStr">
        <is>
          <t>互联网板块约10/20；游戏雷火10/16（招满即止）</t>
        </is>
      </c>
      <c r="M28" s="6" t="inlineStr">
        <is>
          <t>2026-10-08</t>
        </is>
      </c>
      <c r="N28" s="4" t="inlineStr">
        <is>
          <t>第三方汇总</t>
        </is>
      </c>
      <c r="O28" s="5" t="inlineStr">
        <is>
          <t>公开汇总(2026-09~10)</t>
        </is>
      </c>
    </row>
    <row r="29">
      <c r="A29" s="4" t="n">
        <v>25</v>
      </c>
      <c r="B29" s="4" t="inlineStr">
        <is>
          <t>中国电信</t>
        </is>
      </c>
      <c r="C29" s="4" t="inlineStr">
        <is>
          <t>国企/央企</t>
        </is>
      </c>
      <c r="D29" s="4" t="inlineStr">
        <is>
          <t>央企</t>
        </is>
      </c>
      <c r="E29" s="4" t="inlineStr">
        <is>
          <t>正式批</t>
        </is>
      </c>
      <c r="F29" s="5" t="inlineStr">
        <is>
          <t>通信/计算机/云计算</t>
        </is>
      </c>
      <c r="G29" s="5" t="inlineStr">
        <is>
          <t>全国</t>
        </is>
      </c>
      <c r="H29" s="4" t="inlineStr">
        <is>
          <t>本科及以上</t>
        </is>
      </c>
      <c r="I29" s="6" t="n">
        <v>46315</v>
      </c>
      <c r="J29" s="4">
        <f>IF(ISNUMBER($I29),IF($I29&lt;TODAY(),"已截止",$I29-TODAY()),$I29&amp;"")</f>
        <v/>
      </c>
      <c r="K29" s="5" t="inlineStr">
        <is>
          <t>见招聘官网/公众号</t>
        </is>
      </c>
      <c r="L29" s="5" t="inlineStr">
        <is>
          <t>各省不一：浙/舟山10/20，川10/6、豫10/16</t>
        </is>
      </c>
      <c r="M29" s="6" t="inlineStr">
        <is>
          <t>2026-10-08</t>
        </is>
      </c>
      <c r="N29" s="4" t="inlineStr">
        <is>
          <t>就业网转发</t>
        </is>
      </c>
      <c r="O29" s="5" t="inlineStr">
        <is>
          <t>官方/就业网(2026-10-08)</t>
        </is>
      </c>
    </row>
    <row r="30">
      <c r="A30" s="4" t="n">
        <v>26</v>
      </c>
      <c r="B30" s="4" t="inlineStr">
        <is>
          <t>兴业银行</t>
        </is>
      </c>
      <c r="C30" s="4" t="inlineStr">
        <is>
          <t>银行</t>
        </is>
      </c>
      <c r="D30" s="4" t="inlineStr">
        <is>
          <t>股份制</t>
        </is>
      </c>
      <c r="E30" s="4" t="inlineStr">
        <is>
          <t>正式批</t>
        </is>
      </c>
      <c r="F30" s="5" t="inlineStr">
        <is>
          <t>金融/计算机</t>
        </is>
      </c>
      <c r="G30" s="5" t="inlineStr">
        <is>
          <t>全国</t>
        </is>
      </c>
      <c r="H30" s="4" t="inlineStr">
        <is>
          <t>本科及以上</t>
        </is>
      </c>
      <c r="I30" s="6" t="n">
        <v>46320</v>
      </c>
      <c r="J30" s="4">
        <f>IF(ISNUMBER($I30),IF($I30&lt;TODAY(),"已截止",$I30-TODAY()),$I30&amp;"")</f>
        <v/>
      </c>
      <c r="K30" s="5" t="inlineStr">
        <is>
          <t>cib.com.cn</t>
        </is>
      </c>
      <c r="L30" s="5" t="inlineStr">
        <is>
          <t>报名至10/25（部分分行滚动）</t>
        </is>
      </c>
      <c r="M30" s="6" t="inlineStr">
        <is>
          <t>2026-10-08</t>
        </is>
      </c>
      <c r="N30" s="4" t="inlineStr">
        <is>
          <t>官网原文</t>
        </is>
      </c>
      <c r="O30" s="5" t="inlineStr">
        <is>
          <t>官方/就业网(2026-10-08)</t>
        </is>
      </c>
    </row>
    <row r="31">
      <c r="A31" s="4" t="n">
        <v>27</v>
      </c>
      <c r="B31" s="4" t="inlineStr">
        <is>
          <t>中国石化</t>
        </is>
      </c>
      <c r="C31" s="4" t="inlineStr">
        <is>
          <t>国企/央企</t>
        </is>
      </c>
      <c r="D31" s="4" t="inlineStr">
        <is>
          <t>央企</t>
        </is>
      </c>
      <c r="E31" s="4" t="inlineStr">
        <is>
          <t>正式批</t>
        </is>
      </c>
      <c r="F31" s="5" t="inlineStr">
        <is>
          <t>化工/机械/地质/计算机</t>
        </is>
      </c>
      <c r="G31" s="5" t="inlineStr">
        <is>
          <t>全国</t>
        </is>
      </c>
      <c r="H31" s="4" t="inlineStr">
        <is>
          <t>本科及以上</t>
        </is>
      </c>
      <c r="I31" s="6" t="n">
        <v>46323</v>
      </c>
      <c r="J31" s="4">
        <f>IF(ISNUMBER($I31),IF($I31&lt;TODAY(),"已截止",$I31-TODAY()),$I31&amp;"")</f>
        <v/>
      </c>
      <c r="K31" s="5" t="inlineStr">
        <is>
          <t>job.sinopec.com</t>
        </is>
      </c>
      <c r="L31" s="5" t="inlineStr">
        <is>
          <t>报名截止10/28 17:00</t>
        </is>
      </c>
      <c r="M31" s="6" t="inlineStr">
        <is>
          <t>2026-10-08</t>
        </is>
      </c>
      <c r="N31" s="4" t="inlineStr">
        <is>
          <t>官网原文</t>
        </is>
      </c>
      <c r="O31" s="5" t="inlineStr">
        <is>
          <t>官方/就业网(2026-10-08)</t>
        </is>
      </c>
    </row>
    <row r="32">
      <c r="A32" s="4" t="n">
        <v>28</v>
      </c>
      <c r="B32" s="4" t="inlineStr">
        <is>
          <t>中国建筑</t>
        </is>
      </c>
      <c r="C32" s="4" t="inlineStr">
        <is>
          <t>国企/央企</t>
        </is>
      </c>
      <c r="D32" s="4" t="inlineStr">
        <is>
          <t>央企</t>
        </is>
      </c>
      <c r="E32" s="4" t="inlineStr">
        <is>
          <t>正式批</t>
        </is>
      </c>
      <c r="F32" s="5" t="inlineStr">
        <is>
          <t>土木/工程管理/安全/造价</t>
        </is>
      </c>
      <c r="G32" s="5" t="inlineStr">
        <is>
          <t>全国</t>
        </is>
      </c>
      <c r="H32" s="4" t="inlineStr">
        <is>
          <t>本科及以上</t>
        </is>
      </c>
      <c r="I32" s="6" t="n">
        <v>46323</v>
      </c>
      <c r="J32" s="4">
        <f>IF(ISNUMBER($I32),IF($I32&lt;TODAY(),"已截止",$I32-TODAY()),$I32&amp;"")</f>
        <v/>
      </c>
      <c r="K32" s="5" t="inlineStr">
        <is>
          <t>见招聘官网/公众号</t>
        </is>
      </c>
      <c r="L32" s="5" t="inlineStr">
        <is>
          <t>中建集团10/28（第三方口径，待核）</t>
        </is>
      </c>
      <c r="M32" s="6" t="inlineStr">
        <is>
          <t>2026-10-08</t>
        </is>
      </c>
      <c r="N32" s="4" t="inlineStr">
        <is>
          <t>第三方汇总</t>
        </is>
      </c>
      <c r="O32" s="5" t="inlineStr">
        <is>
          <t>公开汇总(2026-09~10)</t>
        </is>
      </c>
    </row>
    <row r="33">
      <c r="A33" s="4" t="n">
        <v>29</v>
      </c>
      <c r="B33" s="4" t="inlineStr">
        <is>
          <t>中金公司</t>
        </is>
      </c>
      <c r="C33" s="4" t="inlineStr">
        <is>
          <t>券商</t>
        </is>
      </c>
      <c r="D33" s="4" t="inlineStr">
        <is>
          <t>国企</t>
        </is>
      </c>
      <c r="E33" s="4" t="inlineStr">
        <is>
          <t>正式批</t>
        </is>
      </c>
      <c r="F33" s="5" t="inlineStr">
        <is>
          <t>投行/研究/销售交易</t>
        </is>
      </c>
      <c r="G33" s="5" t="inlineStr">
        <is>
          <t>北京/上海/深圳</t>
        </is>
      </c>
      <c r="H33" s="4" t="inlineStr">
        <is>
          <t>硕士优先</t>
        </is>
      </c>
      <c r="I33" s="6" t="n">
        <v>46323</v>
      </c>
      <c r="J33" s="4">
        <f>IF(ISNUMBER($I33),IF($I33&lt;TODAY(),"已截止",$I33-TODAY()),$I33&amp;"")</f>
        <v/>
      </c>
      <c r="K33" s="5" t="inlineStr">
        <is>
          <t>campus.cicc.com</t>
        </is>
      </c>
      <c r="L33" s="5" t="inlineStr">
        <is>
          <t>官网QA：9/8–10/28申请</t>
        </is>
      </c>
      <c r="M33" s="6" t="inlineStr">
        <is>
          <t>2026-10-08</t>
        </is>
      </c>
      <c r="N33" s="4" t="inlineStr">
        <is>
          <t>官网原文</t>
        </is>
      </c>
      <c r="O33" s="5" t="inlineStr">
        <is>
          <t>官方/就业网(2026-10-08)</t>
        </is>
      </c>
    </row>
    <row r="34">
      <c r="A34" s="4" t="n">
        <v>30</v>
      </c>
      <c r="B34" s="4" t="inlineStr">
        <is>
          <t>蚂蚁集团</t>
        </is>
      </c>
      <c r="C34" s="4" t="inlineStr">
        <is>
          <t>互联网</t>
        </is>
      </c>
      <c r="D34" s="4" t="inlineStr">
        <is>
          <t>民企</t>
        </is>
      </c>
      <c r="E34" s="4" t="inlineStr">
        <is>
          <t>正式批</t>
        </is>
      </c>
      <c r="F34" s="5" t="inlineStr">
        <is>
          <t>技术/产品</t>
        </is>
      </c>
      <c r="G34" s="5" t="inlineStr">
        <is>
          <t>杭州/上海/北京/深圳</t>
        </is>
      </c>
      <c r="H34" s="4" t="inlineStr">
        <is>
          <t>本科及以上</t>
        </is>
      </c>
      <c r="I34" s="6" t="n">
        <v>46325</v>
      </c>
      <c r="J34" s="4">
        <f>IF(ISNUMBER($I34),IF($I34&lt;TODAY(),"已截止",$I34-TODAY()),$I34&amp;"")</f>
        <v/>
      </c>
      <c r="K34" s="5" t="inlineStr">
        <is>
          <t>talent.antgroup.com</t>
        </is>
      </c>
      <c r="L34" s="5" t="inlineStr">
        <is>
          <t>网申截止10/30（就业网口径）</t>
        </is>
      </c>
      <c r="M34" s="6" t="inlineStr">
        <is>
          <t>2026-10-08</t>
        </is>
      </c>
      <c r="N34" s="4" t="inlineStr">
        <is>
          <t>就业网转发</t>
        </is>
      </c>
      <c r="O34" s="5" t="inlineStr">
        <is>
          <t>官方/就业网(2026-10-08)</t>
        </is>
      </c>
    </row>
    <row r="35">
      <c r="A35" s="4" t="n">
        <v>31</v>
      </c>
      <c r="B35" s="4" t="inlineStr">
        <is>
          <t>中国广核</t>
        </is>
      </c>
      <c r="C35" s="4" t="inlineStr">
        <is>
          <t>国企/央企</t>
        </is>
      </c>
      <c r="D35" s="4" t="inlineStr">
        <is>
          <t>央企</t>
        </is>
      </c>
      <c r="E35" s="4" t="inlineStr">
        <is>
          <t>正式批</t>
        </is>
      </c>
      <c r="F35" s="5" t="inlineStr">
        <is>
          <t>核能/电气/机械/计算机</t>
        </is>
      </c>
      <c r="G35" s="5" t="inlineStr">
        <is>
          <t>全国</t>
        </is>
      </c>
      <c r="H35" s="4" t="inlineStr">
        <is>
          <t>本硕博</t>
        </is>
      </c>
      <c r="I35" s="6" t="n">
        <v>46325</v>
      </c>
      <c r="J35" s="4">
        <f>IF(ISNUMBER($I35),IF($I35&lt;TODAY(),"已截止",$I35-TODAY()),$I35&amp;"")</f>
        <v/>
      </c>
      <c r="K35" s="5" t="inlineStr">
        <is>
          <t>cgn.hotjob.cn</t>
        </is>
      </c>
      <c r="L35" s="5" t="inlineStr">
        <is>
          <t>简历投递截止10/30</t>
        </is>
      </c>
      <c r="M35" s="6" t="inlineStr">
        <is>
          <t>2026-10-08</t>
        </is>
      </c>
      <c r="N35" s="4" t="inlineStr">
        <is>
          <t>就业网转发</t>
        </is>
      </c>
      <c r="O35" s="5" t="inlineStr">
        <is>
          <t>官方/就业网(2026-10-08)</t>
        </is>
      </c>
    </row>
    <row r="36">
      <c r="A36" s="4" t="n">
        <v>32</v>
      </c>
      <c r="B36" s="4" t="inlineStr">
        <is>
          <t>中国华能</t>
        </is>
      </c>
      <c r="C36" s="4" t="inlineStr">
        <is>
          <t>国企/央企</t>
        </is>
      </c>
      <c r="D36" s="4" t="inlineStr">
        <is>
          <t>央企</t>
        </is>
      </c>
      <c r="E36" s="4" t="inlineStr">
        <is>
          <t>正式批</t>
        </is>
      </c>
      <c r="F36" s="5" t="inlineStr">
        <is>
          <t>电气/机械/材料/动力/计算机/法学/经济</t>
        </is>
      </c>
      <c r="G36" s="5" t="inlineStr">
        <is>
          <t>全国/京内</t>
        </is>
      </c>
      <c r="H36" s="4" t="inlineStr">
        <is>
          <t>硕博为主</t>
        </is>
      </c>
      <c r="I36" s="6" t="n">
        <v>46326</v>
      </c>
      <c r="J36" s="4">
        <f>IF(ISNUMBER($I36),IF($I36&lt;TODAY(),"已截止",$I36-TODAY()),$I36&amp;"")</f>
        <v/>
      </c>
      <c r="K36" s="5" t="inlineStr">
        <is>
          <t>见招聘官网/公众号</t>
        </is>
      </c>
      <c r="L36" s="5" t="inlineStr">
        <is>
          <t>简历投递9/15–10/31 18:00</t>
        </is>
      </c>
      <c r="M36" s="6" t="inlineStr">
        <is>
          <t>2026-10-08</t>
        </is>
      </c>
      <c r="N36" s="4" t="inlineStr">
        <is>
          <t>官网原文</t>
        </is>
      </c>
      <c r="O36" s="5" t="inlineStr">
        <is>
          <t>官方/就业网(2026-10-08)</t>
        </is>
      </c>
    </row>
    <row r="37">
      <c r="A37" s="4" t="n">
        <v>33</v>
      </c>
      <c r="B37" s="4" t="inlineStr">
        <is>
          <t>美团</t>
        </is>
      </c>
      <c r="C37" s="4" t="inlineStr">
        <is>
          <t>互联网</t>
        </is>
      </c>
      <c r="D37" s="4" t="inlineStr">
        <is>
          <t>民企</t>
        </is>
      </c>
      <c r="E37" s="4" t="inlineStr">
        <is>
          <t>正式批</t>
        </is>
      </c>
      <c r="F37" s="5" t="inlineStr">
        <is>
          <t>技术/产品/商业分析/运营/设计/销售</t>
        </is>
      </c>
      <c r="G37" s="5" t="inlineStr">
        <is>
          <t>北京/上海/深圳/广州/成都</t>
        </is>
      </c>
      <c r="H37" s="4" t="inlineStr">
        <is>
          <t>本科及以上</t>
        </is>
      </c>
      <c r="I37" s="6" t="n">
        <v>46326</v>
      </c>
      <c r="J37" s="4">
        <f>IF(ISNUMBER($I37),IF($I37&lt;TODAY(),"已截止",$I37-TODAY()),$I37&amp;"")</f>
        <v/>
      </c>
      <c r="K37" s="5" t="inlineStr">
        <is>
          <t>zhaopin.meituan.com</t>
        </is>
      </c>
      <c r="L37" s="5" t="inlineStr">
        <is>
          <t>官方10/31，部分岗位招满提前结束</t>
        </is>
      </c>
      <c r="M37" s="6" t="inlineStr">
        <is>
          <t>2026-10-08</t>
        </is>
      </c>
      <c r="N37" s="4" t="inlineStr">
        <is>
          <t>官网原文</t>
        </is>
      </c>
      <c r="O37" s="5" t="inlineStr">
        <is>
          <t>官方/就业网(2026-10-08)</t>
        </is>
      </c>
    </row>
    <row r="38">
      <c r="A38" s="4" t="n">
        <v>34</v>
      </c>
      <c r="B38" s="4" t="inlineStr">
        <is>
          <t>中国海油</t>
        </is>
      </c>
      <c r="C38" s="4" t="inlineStr">
        <is>
          <t>国企/央企</t>
        </is>
      </c>
      <c r="D38" s="4" t="inlineStr">
        <is>
          <t>央企</t>
        </is>
      </c>
      <c r="E38" s="4" t="inlineStr">
        <is>
          <t>正式批</t>
        </is>
      </c>
      <c r="F38" s="5" t="inlineStr">
        <is>
          <t>石油/机械/化工</t>
        </is>
      </c>
      <c r="G38" s="5" t="inlineStr">
        <is>
          <t>全国</t>
        </is>
      </c>
      <c r="H38" s="4" t="inlineStr">
        <is>
          <t>本科及以上</t>
        </is>
      </c>
      <c r="I38" s="6" t="n">
        <v>46326</v>
      </c>
      <c r="J38" s="4">
        <f>IF(ISNUMBER($I38),IF($I38&lt;TODAY(),"已截止",$I38-TODAY()),$I38&amp;"")</f>
        <v/>
      </c>
      <c r="K38" s="5" t="inlineStr">
        <is>
          <t>见招聘官网/公众号</t>
        </is>
      </c>
      <c r="L38" s="5" t="inlineStr">
        <is>
          <t>报名9/30–10/31 24:00</t>
        </is>
      </c>
      <c r="M38" s="6" t="inlineStr">
        <is>
          <t>2026-10-08</t>
        </is>
      </c>
      <c r="N38" s="4" t="inlineStr">
        <is>
          <t>官网原文</t>
        </is>
      </c>
      <c r="O38" s="5" t="inlineStr">
        <is>
          <t>官方/就业网(2026-10-08)</t>
        </is>
      </c>
    </row>
    <row r="39">
      <c r="A39" s="4" t="n">
        <v>35</v>
      </c>
      <c r="B39" s="4" t="inlineStr">
        <is>
          <t>中国邮政</t>
        </is>
      </c>
      <c r="C39" s="4" t="inlineStr">
        <is>
          <t>国企/央企</t>
        </is>
      </c>
      <c r="D39" s="4" t="inlineStr">
        <is>
          <t>央企</t>
        </is>
      </c>
      <c r="E39" s="4" t="inlineStr">
        <is>
          <t>正式批</t>
        </is>
      </c>
      <c r="F39" s="5" t="inlineStr">
        <is>
          <t>金融/物流/多专业</t>
        </is>
      </c>
      <c r="G39" s="5" t="inlineStr">
        <is>
          <t>全国</t>
        </is>
      </c>
      <c r="H39" s="4" t="inlineStr">
        <is>
          <t>本科及以上</t>
        </is>
      </c>
      <c r="I39" s="6" t="n">
        <v>46326</v>
      </c>
      <c r="J39" s="4">
        <f>IF(ISNUMBER($I39),IF($I39&lt;TODAY(),"已截止",$I39-TODAY()),$I39&amp;"")</f>
        <v/>
      </c>
      <c r="K39" s="5" t="inlineStr">
        <is>
          <t>见招聘官网/公众号</t>
        </is>
      </c>
      <c r="L39" s="5" t="inlineStr">
        <is>
          <t>简历接收截止10/31</t>
        </is>
      </c>
      <c r="M39" s="6" t="inlineStr">
        <is>
          <t>2026-10-08</t>
        </is>
      </c>
      <c r="N39" s="4" t="inlineStr">
        <is>
          <t>就业网转发</t>
        </is>
      </c>
      <c r="O39" s="5" t="inlineStr">
        <is>
          <t>官方/就业网(2026-10-08)</t>
        </is>
      </c>
    </row>
    <row r="40">
      <c r="A40" s="4" t="n">
        <v>36</v>
      </c>
      <c r="B40" s="4" t="inlineStr">
        <is>
          <t>达能</t>
        </is>
      </c>
      <c r="C40" s="4" t="inlineStr">
        <is>
          <t>快消</t>
        </is>
      </c>
      <c r="D40" s="4" t="inlineStr">
        <is>
          <t>外企</t>
        </is>
      </c>
      <c r="E40" s="4" t="inlineStr">
        <is>
          <t>正式批</t>
        </is>
      </c>
      <c r="F40" s="5" t="inlineStr">
        <is>
          <t>市场/供应链</t>
        </is>
      </c>
      <c r="G40" s="5" t="inlineStr">
        <is>
          <t>上海等</t>
        </is>
      </c>
      <c r="H40" s="4" t="inlineStr">
        <is>
          <t>本科及以上</t>
        </is>
      </c>
      <c r="I40" s="6" t="n">
        <v>46326</v>
      </c>
      <c r="J40" s="4">
        <f>IF(ISNUMBER($I40),IF($I40&lt;TODAY(),"已截止",$I40-TODAY()),$I40&amp;"")</f>
        <v/>
      </c>
      <c r="K40" s="5" t="inlineStr">
        <is>
          <t>见招聘官网/公众号</t>
        </is>
      </c>
      <c r="L40" s="5" t="inlineStr">
        <is>
          <t>网申截止10/31</t>
        </is>
      </c>
      <c r="M40" s="6" t="inlineStr">
        <is>
          <t>2026-10-08</t>
        </is>
      </c>
      <c r="N40" s="4" t="inlineStr">
        <is>
          <t>就业网转发</t>
        </is>
      </c>
      <c r="O40" s="5" t="inlineStr">
        <is>
          <t>官方/就业网(2026-10-08)</t>
        </is>
      </c>
    </row>
    <row r="41">
      <c r="A41" s="4" t="n">
        <v>37</v>
      </c>
      <c r="B41" s="4" t="inlineStr">
        <is>
          <t>米哈游</t>
        </is>
      </c>
      <c r="C41" s="4" t="inlineStr">
        <is>
          <t>游戏</t>
        </is>
      </c>
      <c r="D41" s="4" t="inlineStr">
        <is>
          <t>民企</t>
        </is>
      </c>
      <c r="E41" s="4" t="inlineStr">
        <is>
          <t>正式批</t>
        </is>
      </c>
      <c r="F41" s="5" t="inlineStr">
        <is>
          <t>游戏研发/策划/美术/运营</t>
        </is>
      </c>
      <c r="G41" s="5" t="inlineStr">
        <is>
          <t>上海</t>
        </is>
      </c>
      <c r="H41" s="4" t="inlineStr">
        <is>
          <t>本科及以上</t>
        </is>
      </c>
      <c r="I41" s="6" t="n">
        <v>46326</v>
      </c>
      <c r="J41" s="4">
        <f>IF(ISNUMBER($I41),IF($I41&lt;TODAY(),"已截止",$I41-TODAY()),$I41&amp;"")</f>
        <v/>
      </c>
      <c r="K41" s="5" t="inlineStr">
        <is>
          <t>campus.mihoyo.com</t>
        </is>
      </c>
      <c r="L41" s="5" t="inlineStr">
        <is>
          <t>原神/星穹铁道团队；网申8/3-10/31，一人限投1岗</t>
        </is>
      </c>
      <c r="M41" s="6" t="inlineStr">
        <is>
          <t>2026-10-08</t>
        </is>
      </c>
      <c r="N41" s="4" t="inlineStr">
        <is>
          <t>官网原文</t>
        </is>
      </c>
      <c r="O41" s="5" t="inlineStr">
        <is>
          <t>官方/就业网(2026-10-08)</t>
        </is>
      </c>
    </row>
    <row r="42">
      <c r="A42" s="4" t="n">
        <v>38</v>
      </c>
      <c r="B42" s="4" t="inlineStr">
        <is>
          <t>德勤Deloitte</t>
        </is>
      </c>
      <c r="C42" s="4" t="inlineStr">
        <is>
          <t>专业服务</t>
        </is>
      </c>
      <c r="D42" s="4" t="inlineStr">
        <is>
          <t>外企</t>
        </is>
      </c>
      <c r="E42" s="4" t="inlineStr">
        <is>
          <t>正式批</t>
        </is>
      </c>
      <c r="F42" s="5" t="inlineStr">
        <is>
          <t>审计/税务/咨询/风控</t>
        </is>
      </c>
      <c r="G42" s="5" t="inlineStr">
        <is>
          <t>全国主要城市</t>
        </is>
      </c>
      <c r="H42" s="4" t="inlineStr">
        <is>
          <t>本科及以上</t>
        </is>
      </c>
      <c r="I42" s="6" t="n">
        <v>46326</v>
      </c>
      <c r="J42" s="4">
        <f>IF(ISNUMBER($I42),IF($I42&lt;TODAY(),"已截止",$I42-TODAY()),$I42&amp;"")</f>
        <v/>
      </c>
      <c r="K42" s="5" t="inlineStr">
        <is>
          <t>www2.deloitte.com</t>
        </is>
      </c>
      <c r="L42" s="5" t="inlineStr">
        <is>
          <t>网申8/3-10/31，网申后即时笔试</t>
        </is>
      </c>
      <c r="M42" s="6" t="inlineStr">
        <is>
          <t>2026-10-08</t>
        </is>
      </c>
      <c r="N42" s="4" t="inlineStr">
        <is>
          <t>官网原文</t>
        </is>
      </c>
      <c r="O42" s="5" t="inlineStr">
        <is>
          <t>官方/就业网(2026-10-08)</t>
        </is>
      </c>
    </row>
    <row r="43">
      <c r="A43" s="4" t="n">
        <v>39</v>
      </c>
      <c r="B43" s="4" t="inlineStr">
        <is>
          <t>华泰证券</t>
        </is>
      </c>
      <c r="C43" s="4" t="inlineStr">
        <is>
          <t>券商</t>
        </is>
      </c>
      <c r="D43" s="4" t="inlineStr">
        <is>
          <t>国企</t>
        </is>
      </c>
      <c r="E43" s="4" t="inlineStr">
        <is>
          <t>正式批</t>
        </is>
      </c>
      <c r="F43" s="5" t="inlineStr">
        <is>
          <t>金融科技/研究/投行</t>
        </is>
      </c>
      <c r="G43" s="5" t="inlineStr">
        <is>
          <t>南京/上海</t>
        </is>
      </c>
      <c r="H43" s="4" t="inlineStr">
        <is>
          <t>本科及以上</t>
        </is>
      </c>
      <c r="I43" s="6" t="n">
        <v>46327</v>
      </c>
      <c r="J43" s="4">
        <f>IF(ISNUMBER($I43),IF($I43&lt;TODAY(),"已截止",$I43-TODAY()),$I43&amp;"")</f>
        <v/>
      </c>
      <c r="K43" s="5" t="inlineStr">
        <is>
          <t>campus.htsc.com</t>
        </is>
      </c>
      <c r="L43" s="5" t="inlineStr">
        <is>
          <t>总部/子公司11/1；分公司11/15</t>
        </is>
      </c>
      <c r="M43" s="6" t="inlineStr">
        <is>
          <t>2026-10-08</t>
        </is>
      </c>
      <c r="N43" s="4" t="inlineStr">
        <is>
          <t>官网原文</t>
        </is>
      </c>
      <c r="O43" s="5" t="inlineStr">
        <is>
          <t>官方/就业网(2026-10-08)</t>
        </is>
      </c>
    </row>
    <row r="44">
      <c r="A44" s="4" t="n">
        <v>40</v>
      </c>
      <c r="B44" s="4" t="inlineStr">
        <is>
          <t>南方电网</t>
        </is>
      </c>
      <c r="C44" s="4" t="inlineStr">
        <is>
          <t>国企/央企</t>
        </is>
      </c>
      <c r="D44" s="4" t="inlineStr">
        <is>
          <t>央企</t>
        </is>
      </c>
      <c r="E44" s="4" t="inlineStr">
        <is>
          <t>正式批</t>
        </is>
      </c>
      <c r="F44" s="5" t="inlineStr">
        <is>
          <t>电气/计算机/通信</t>
        </is>
      </c>
      <c r="G44" s="5" t="inlineStr">
        <is>
          <t>广东/广西/云南/贵州/海南</t>
        </is>
      </c>
      <c r="H44" s="4" t="inlineStr">
        <is>
          <t>本科及以上</t>
        </is>
      </c>
      <c r="I44" s="6" t="n">
        <v>46328</v>
      </c>
      <c r="J44" s="4">
        <f>IF(ISNUMBER($I44),IF($I44&lt;TODAY(),"已截止",$I44-TODAY()),$I44&amp;"")</f>
        <v/>
      </c>
      <c r="K44" s="5" t="inlineStr">
        <is>
          <t>zhaopin.csg.cn</t>
        </is>
      </c>
      <c r="L44" s="5" t="inlineStr">
        <is>
          <t>各二级单位截止不同，正式批约11月，以官网为准</t>
        </is>
      </c>
      <c r="M44" s="6" t="inlineStr">
        <is>
          <t>2026-10-08</t>
        </is>
      </c>
      <c r="N44" s="4" t="inlineStr">
        <is>
          <t>第三方汇总</t>
        </is>
      </c>
      <c r="O44" s="5" t="inlineStr">
        <is>
          <t>公开汇总(2026-09~10)</t>
        </is>
      </c>
    </row>
    <row r="45">
      <c r="A45" s="4" t="n">
        <v>41</v>
      </c>
      <c r="B45" s="4" t="inlineStr">
        <is>
          <t>平安银行</t>
        </is>
      </c>
      <c r="C45" s="4" t="inlineStr">
        <is>
          <t>银行</t>
        </is>
      </c>
      <c r="D45" s="4" t="inlineStr">
        <is>
          <t>股份制</t>
        </is>
      </c>
      <c r="E45" s="4" t="inlineStr">
        <is>
          <t>正式批</t>
        </is>
      </c>
      <c r="F45" s="5" t="inlineStr">
        <is>
          <t>金融/计算机</t>
        </is>
      </c>
      <c r="G45" s="5" t="inlineStr">
        <is>
          <t>全国</t>
        </is>
      </c>
      <c r="H45" s="4" t="inlineStr">
        <is>
          <t>本科及以上</t>
        </is>
      </c>
      <c r="I45" s="6" t="n">
        <v>46332</v>
      </c>
      <c r="J45" s="4">
        <f>IF(ISNUMBER($I45),IF($I45&lt;TODAY(),"已截止",$I45-TODAY()),$I45&amp;"")</f>
        <v/>
      </c>
      <c r="K45" s="5" t="inlineStr">
        <is>
          <t>campus.pingan.com</t>
        </is>
      </c>
      <c r="L45" s="5" t="inlineStr">
        <is>
          <t>网申8/10–11/6</t>
        </is>
      </c>
      <c r="M45" s="6" t="inlineStr">
        <is>
          <t>2026-10-08</t>
        </is>
      </c>
      <c r="N45" s="4" t="inlineStr">
        <is>
          <t>就业网转发</t>
        </is>
      </c>
      <c r="O45" s="5" t="inlineStr">
        <is>
          <t>官方/就业网(2026-10-08)</t>
        </is>
      </c>
    </row>
    <row r="46">
      <c r="A46" s="4" t="n">
        <v>42</v>
      </c>
      <c r="B46" s="4" t="inlineStr">
        <is>
          <t>小红书</t>
        </is>
      </c>
      <c r="C46" s="4" t="inlineStr">
        <is>
          <t>互联网</t>
        </is>
      </c>
      <c r="D46" s="4" t="inlineStr">
        <is>
          <t>民企</t>
        </is>
      </c>
      <c r="E46" s="4" t="inlineStr">
        <is>
          <t>正式批</t>
        </is>
      </c>
      <c r="F46" s="5" t="inlineStr">
        <is>
          <t>技术/产品/运营/设计/销售/职能</t>
        </is>
      </c>
      <c r="G46" s="5" t="inlineStr">
        <is>
          <t>北京/上海/武汉/广州</t>
        </is>
      </c>
      <c r="H46" s="4" t="inlineStr">
        <is>
          <t>本科及以上</t>
        </is>
      </c>
      <c r="I46" s="6" t="n">
        <v>46334</v>
      </c>
      <c r="J46" s="4">
        <f>IF(ISNUMBER($I46),IF($I46&lt;TODAY(),"已截止",$I46-TODAY()),$I46&amp;"")</f>
        <v/>
      </c>
      <c r="K46" s="5" t="inlineStr">
        <is>
          <t>job.xiaohongshu.com</t>
        </is>
      </c>
      <c r="L46" s="5" t="inlineStr">
        <is>
          <t>网申9/8–11/8（第三方）</t>
        </is>
      </c>
      <c r="M46" s="6" t="inlineStr">
        <is>
          <t>2026-10-08</t>
        </is>
      </c>
      <c r="N46" s="4" t="inlineStr">
        <is>
          <t>第三方汇总</t>
        </is>
      </c>
      <c r="O46" s="5" t="inlineStr">
        <is>
          <t>公开汇总(2026-09~10)</t>
        </is>
      </c>
    </row>
    <row r="47">
      <c r="A47" s="4" t="n">
        <v>43</v>
      </c>
      <c r="B47" s="4" t="inlineStr">
        <is>
          <t>国家电投</t>
        </is>
      </c>
      <c r="C47" s="4" t="inlineStr">
        <is>
          <t>国企/央企</t>
        </is>
      </c>
      <c r="D47" s="4" t="inlineStr">
        <is>
          <t>央企</t>
        </is>
      </c>
      <c r="E47" s="4" t="inlineStr">
        <is>
          <t>正式批</t>
        </is>
      </c>
      <c r="F47" s="5" t="inlineStr">
        <is>
          <t>电气/能源/核能/新能源/机械/计算机</t>
        </is>
      </c>
      <c r="G47" s="5" t="inlineStr">
        <is>
          <t>全国</t>
        </is>
      </c>
      <c r="H47" s="4" t="inlineStr">
        <is>
          <t>本硕</t>
        </is>
      </c>
      <c r="I47" s="6" t="n">
        <v>46356</v>
      </c>
      <c r="J47" s="4">
        <f>IF(ISNUMBER($I47),IF($I47&lt;TODAY(),"已截止",$I47-TODAY()),$I47&amp;"")</f>
        <v/>
      </c>
      <c r="K47" s="5" t="inlineStr">
        <is>
          <t>见招聘官网/公众号</t>
        </is>
      </c>
      <c r="L47" s="5" t="inlineStr">
        <is>
          <t>部分岗位报名截至11/30，偏远地区招满即止</t>
        </is>
      </c>
      <c r="M47" s="6" t="inlineStr">
        <is>
          <t>2026-10-08</t>
        </is>
      </c>
      <c r="N47" s="4" t="inlineStr">
        <is>
          <t>第三方汇总</t>
        </is>
      </c>
      <c r="O47" s="5" t="inlineStr">
        <is>
          <t>公开汇总(2026-09~10)</t>
        </is>
      </c>
    </row>
    <row r="48">
      <c r="A48" s="4" t="n">
        <v>44</v>
      </c>
      <c r="B48" s="4" t="inlineStr">
        <is>
          <t>雀巢</t>
        </is>
      </c>
      <c r="C48" s="4" t="inlineStr">
        <is>
          <t>快消</t>
        </is>
      </c>
      <c r="D48" s="4" t="inlineStr">
        <is>
          <t>外企</t>
        </is>
      </c>
      <c r="E48" s="4" t="inlineStr">
        <is>
          <t>正式批</t>
        </is>
      </c>
      <c r="F48" s="5" t="inlineStr">
        <is>
          <t>市场/供应链/电商</t>
        </is>
      </c>
      <c r="G48" s="5" t="inlineStr">
        <is>
          <t>北京等</t>
        </is>
      </c>
      <c r="H48" s="4" t="inlineStr">
        <is>
          <t>本科及以上</t>
        </is>
      </c>
      <c r="I48" s="6" t="n">
        <v>46356</v>
      </c>
      <c r="J48" s="4">
        <f>IF(ISNUMBER($I48),IF($I48&lt;TODAY(),"已截止",$I48-TODAY()),$I48&amp;"")</f>
        <v/>
      </c>
      <c r="K48" s="5" t="inlineStr">
        <is>
          <t>见招聘官网/公众号</t>
        </is>
      </c>
      <c r="L48" s="5" t="inlineStr">
        <is>
          <t>网申截止11/30</t>
        </is>
      </c>
      <c r="M48" s="6" t="inlineStr">
        <is>
          <t>2026-10-08</t>
        </is>
      </c>
      <c r="N48" s="4" t="inlineStr">
        <is>
          <t>就业网转发</t>
        </is>
      </c>
      <c r="O48" s="5" t="inlineStr">
        <is>
          <t>官方/就业网(2026-10-08)</t>
        </is>
      </c>
    </row>
    <row r="49">
      <c r="A49" s="4" t="n">
        <v>45</v>
      </c>
      <c r="B49" s="4" t="inlineStr">
        <is>
          <t>京东</t>
        </is>
      </c>
      <c r="C49" s="4" t="inlineStr">
        <is>
          <t>互联网</t>
        </is>
      </c>
      <c r="D49" s="4" t="inlineStr">
        <is>
          <t>民企</t>
        </is>
      </c>
      <c r="E49" s="4" t="inlineStr">
        <is>
          <t>正式批</t>
        </is>
      </c>
      <c r="F49" s="5" t="inlineStr">
        <is>
          <t>技术/产品/运营/物流/供应链</t>
        </is>
      </c>
      <c r="G49" s="5" t="inlineStr">
        <is>
          <t>北京/上海/深圳</t>
        </is>
      </c>
      <c r="H49" s="4" t="inlineStr">
        <is>
          <t>本科及以上</t>
        </is>
      </c>
      <c r="I49" s="6" t="n">
        <v>46356</v>
      </c>
      <c r="J49" s="4">
        <f>IF(ISNUMBER($I49),IF($I49&lt;TODAY(),"已截止",$I49-TODAY()),$I49&amp;"")</f>
        <v/>
      </c>
      <c r="K49" s="5" t="inlineStr">
        <is>
          <t>campus.jd.com</t>
        </is>
      </c>
      <c r="L49" s="5" t="inlineStr">
        <is>
          <t>网申8/3–11/30</t>
        </is>
      </c>
      <c r="M49" s="6" t="inlineStr">
        <is>
          <t>2026-10-08</t>
        </is>
      </c>
      <c r="N49" s="4" t="inlineStr">
        <is>
          <t>官网原文</t>
        </is>
      </c>
      <c r="O49" s="5" t="inlineStr">
        <is>
          <t>官方/就业网(2026-10-08)</t>
        </is>
      </c>
    </row>
    <row r="50">
      <c r="A50" s="4" t="n">
        <v>46</v>
      </c>
      <c r="B50" s="4" t="inlineStr">
        <is>
          <t>宁德时代</t>
        </is>
      </c>
      <c r="C50" s="4" t="inlineStr">
        <is>
          <t>新能源/汽车</t>
        </is>
      </c>
      <c r="D50" s="4" t="inlineStr">
        <is>
          <t>民企</t>
        </is>
      </c>
      <c r="E50" s="4" t="inlineStr">
        <is>
          <t>正式批</t>
        </is>
      </c>
      <c r="F50" s="5" t="inlineStr">
        <is>
          <t>电池研发/机械/电气/材料/供应链</t>
        </is>
      </c>
      <c r="G50" s="5" t="inlineStr">
        <is>
          <t>福建宁德/全国</t>
        </is>
      </c>
      <c r="H50" s="4" t="inlineStr">
        <is>
          <t>本科及以上</t>
        </is>
      </c>
      <c r="I50" s="6" t="n">
        <v>46386</v>
      </c>
      <c r="J50" s="4">
        <f>IF(ISNUMBER($I50),IF($I50&lt;TODAY(),"已截止",$I50-TODAY()),$I50&amp;"")</f>
        <v/>
      </c>
      <c r="K50" s="5" t="inlineStr">
        <is>
          <t>campus.catl.com</t>
        </is>
      </c>
      <c r="L50" s="5" t="inlineStr">
        <is>
          <t>网申8/25-12/30，6000+ offer</t>
        </is>
      </c>
      <c r="M50" s="6" t="inlineStr">
        <is>
          <t>2026-10-08</t>
        </is>
      </c>
      <c r="N50" s="4" t="inlineStr">
        <is>
          <t>就业网转发</t>
        </is>
      </c>
      <c r="O50" s="5" t="inlineStr">
        <is>
          <t>官方/就业网(2026-10-08)</t>
        </is>
      </c>
    </row>
    <row r="51">
      <c r="A51" s="4" t="n">
        <v>47</v>
      </c>
      <c r="B51" s="4" t="inlineStr">
        <is>
          <t>小米</t>
        </is>
      </c>
      <c r="C51" s="4" t="inlineStr">
        <is>
          <t>科技/硬件</t>
        </is>
      </c>
      <c r="D51" s="4" t="inlineStr">
        <is>
          <t>民企</t>
        </is>
      </c>
      <c r="E51" s="4" t="inlineStr">
        <is>
          <t>正式批</t>
        </is>
      </c>
      <c r="F51" s="5" t="inlineStr">
        <is>
          <t>算法/软件/硬件/芯片/产品/市场/供应链</t>
        </is>
      </c>
      <c r="G51" s="5" t="inlineStr">
        <is>
          <t>北京/上海/武汉/南京/西安/深圳</t>
        </is>
      </c>
      <c r="H51" s="4" t="inlineStr">
        <is>
          <t>本科及以上</t>
        </is>
      </c>
      <c r="I51" s="6" t="n">
        <v>46387</v>
      </c>
      <c r="J51" s="4">
        <f>IF(ISNUMBER($I51),IF($I51&lt;TODAY(),"已截止",$I51-TODAY()),$I51&amp;"")</f>
        <v/>
      </c>
      <c r="K51" s="5" t="inlineStr">
        <is>
          <t>hr.xiaomi.com</t>
        </is>
      </c>
      <c r="L51" s="5" t="inlineStr">
        <is>
          <t>官方投递至12/31，招满即止</t>
        </is>
      </c>
      <c r="M51" s="6" t="inlineStr">
        <is>
          <t>2026-10-08</t>
        </is>
      </c>
      <c r="N51" s="4" t="inlineStr">
        <is>
          <t>官网原文</t>
        </is>
      </c>
      <c r="O51" s="5" t="inlineStr">
        <is>
          <t>官方/就业网(2026-10-08)</t>
        </is>
      </c>
    </row>
    <row r="52">
      <c r="A52" s="4" t="n">
        <v>48</v>
      </c>
      <c r="B52" s="4" t="inlineStr">
        <is>
          <t>哔哩哔哩</t>
        </is>
      </c>
      <c r="C52" s="4" t="inlineStr">
        <is>
          <t>互联网</t>
        </is>
      </c>
      <c r="D52" s="4" t="inlineStr">
        <is>
          <t>民企</t>
        </is>
      </c>
      <c r="E52" s="4" t="inlineStr">
        <is>
          <t>B-UP专项</t>
        </is>
      </c>
      <c r="F52" s="5" t="inlineStr">
        <is>
          <t>多模态/智能体/技术</t>
        </is>
      </c>
      <c r="G52" s="5" t="inlineStr">
        <is>
          <t>上海/北京</t>
        </is>
      </c>
      <c r="H52" s="4" t="inlineStr">
        <is>
          <t>本科及以上</t>
        </is>
      </c>
      <c r="I52" s="6" t="n">
        <v>46387</v>
      </c>
      <c r="J52" s="4">
        <f>IF(ISNUMBER($I52),IF($I52&lt;TODAY(),"已截止",$I52-TODAY()),$I52&amp;"")</f>
        <v/>
      </c>
      <c r="K52" s="5" t="inlineStr">
        <is>
          <t>jobs.bilibili.com</t>
        </is>
      </c>
      <c r="L52" s="5" t="inlineStr">
        <is>
          <t>官网职位页网申截止12/31</t>
        </is>
      </c>
      <c r="M52" s="6" t="inlineStr">
        <is>
          <t>2026-10-08</t>
        </is>
      </c>
      <c r="N52" s="4" t="inlineStr">
        <is>
          <t>官网原文</t>
        </is>
      </c>
      <c r="O52" s="5" t="inlineStr">
        <is>
          <t>官方/就业网(2026-10-08)</t>
        </is>
      </c>
    </row>
    <row r="53">
      <c r="A53" s="4" t="n">
        <v>49</v>
      </c>
      <c r="B53" s="4" t="inlineStr">
        <is>
          <t>携程</t>
        </is>
      </c>
      <c r="C53" s="4" t="inlineStr">
        <is>
          <t>互联网</t>
        </is>
      </c>
      <c r="D53" s="4" t="inlineStr">
        <is>
          <t>民企</t>
        </is>
      </c>
      <c r="E53" s="4" t="inlineStr">
        <is>
          <t>正式批</t>
        </is>
      </c>
      <c r="F53" s="5" t="inlineStr">
        <is>
          <t>技术/产品/运营/酒店旅游</t>
        </is>
      </c>
      <c r="G53" s="5" t="inlineStr">
        <is>
          <t>上海</t>
        </is>
      </c>
      <c r="H53" s="4" t="inlineStr">
        <is>
          <t>本科及以上</t>
        </is>
      </c>
      <c r="I53" s="6" t="n">
        <v>46387</v>
      </c>
      <c r="J53" s="4">
        <f>IF(ISNUMBER($I53),IF($I53&lt;TODAY(),"已截止",$I53-TODAY()),$I53&amp;"")</f>
        <v/>
      </c>
      <c r="K53" s="5" t="inlineStr">
        <is>
          <t>careers.ctrip.com</t>
        </is>
      </c>
      <c r="L53" s="5" t="inlineStr">
        <is>
          <t>官网8/26起招满即止；平台口径12/31</t>
        </is>
      </c>
      <c r="M53" s="6" t="inlineStr">
        <is>
          <t>2026-10-08</t>
        </is>
      </c>
      <c r="N53" s="4" t="inlineStr">
        <is>
          <t>第三方汇总</t>
        </is>
      </c>
      <c r="O53" s="5" t="inlineStr">
        <is>
          <t>公开汇总(2026-10补充)</t>
        </is>
      </c>
    </row>
    <row r="54">
      <c r="A54" s="4" t="n">
        <v>50</v>
      </c>
      <c r="B54" s="4" t="inlineStr">
        <is>
          <t>拼多多</t>
        </is>
      </c>
      <c r="C54" s="4" t="inlineStr">
        <is>
          <t>互联网</t>
        </is>
      </c>
      <c r="D54" s="4" t="inlineStr">
        <is>
          <t>民企</t>
        </is>
      </c>
      <c r="E54" s="4" t="inlineStr">
        <is>
          <t>提前批</t>
        </is>
      </c>
      <c r="F54" s="5" t="inlineStr">
        <is>
          <t>算法/后端/商分</t>
        </is>
      </c>
      <c r="G54" s="5" t="inlineStr">
        <is>
          <t>上海</t>
        </is>
      </c>
      <c r="H54" s="4" t="inlineStr">
        <is>
          <t>本科及以上</t>
        </is>
      </c>
      <c r="I54" s="6" t="n">
        <v>46418</v>
      </c>
      <c r="J54" s="4">
        <f>IF(ISNUMBER($I54),IF($I54&lt;TODAY(),"已截止",$I54-TODAY()),$I54&amp;"")</f>
        <v/>
      </c>
      <c r="K54" s="5" t="inlineStr">
        <is>
          <t>campus.pinduoduo.com</t>
        </is>
      </c>
      <c r="L54" s="5" t="inlineStr">
        <is>
          <t>官网：网申9/2–次年1/31</t>
        </is>
      </c>
      <c r="M54" s="6" t="inlineStr">
        <is>
          <t>2026-10-08</t>
        </is>
      </c>
      <c r="N54" s="4" t="inlineStr">
        <is>
          <t>官网原文</t>
        </is>
      </c>
      <c r="O54" s="5" t="inlineStr">
        <is>
          <t>官方/就业网(2026-10-08)</t>
        </is>
      </c>
    </row>
    <row r="55">
      <c r="A55" s="4" t="n">
        <v>51</v>
      </c>
      <c r="B55" s="4" t="inlineStr">
        <is>
          <t>字节跳动</t>
        </is>
      </c>
      <c r="C55" s="4" t="inlineStr">
        <is>
          <t>互联网</t>
        </is>
      </c>
      <c r="D55" s="4" t="inlineStr">
        <is>
          <t>民企</t>
        </is>
      </c>
      <c r="E55" s="4" t="inlineStr">
        <is>
          <t>正式批</t>
        </is>
      </c>
      <c r="F55" s="5" t="inlineStr">
        <is>
          <t>研发/产品/运营/设计/市场/职能/销售/游戏策划</t>
        </is>
      </c>
      <c r="G55" s="5" t="inlineStr">
        <is>
          <t>北京/上海/深圳/杭州/广州/成都</t>
        </is>
      </c>
      <c r="H55" s="4" t="inlineStr">
        <is>
          <t>本科及以上</t>
        </is>
      </c>
      <c r="I55" s="6" t="n">
        <v>46538</v>
      </c>
      <c r="J55" s="4">
        <f>IF(ISNUMBER($I55),IF($I55&lt;TODAY(),"已截止",$I55-TODAY()),$I55&amp;"")</f>
        <v/>
      </c>
      <c r="K55" s="5" t="inlineStr">
        <is>
          <t>jobs.bytedance.com/campus</t>
        </is>
      </c>
      <c r="L55" s="5" t="inlineStr">
        <is>
          <t>全年滚动8/3–次年5/31，4次投递机会</t>
        </is>
      </c>
      <c r="M55" s="6" t="inlineStr">
        <is>
          <t>2026-10-08</t>
        </is>
      </c>
      <c r="N55" s="4" t="inlineStr">
        <is>
          <t>官网原文</t>
        </is>
      </c>
      <c r="O55" s="5" t="inlineStr">
        <is>
          <t>官方/就业网(2026-10-08)</t>
        </is>
      </c>
    </row>
    <row r="56">
      <c r="A56" s="4" t="n">
        <v>52</v>
      </c>
      <c r="B56" s="4" t="inlineStr">
        <is>
          <t>腾讯</t>
        </is>
      </c>
      <c r="C56" s="4" t="inlineStr">
        <is>
          <t>互联网</t>
        </is>
      </c>
      <c r="D56" s="4" t="inlineStr">
        <is>
          <t>民企</t>
        </is>
      </c>
      <c r="E56" s="4" t="inlineStr">
        <is>
          <t>正式批</t>
        </is>
      </c>
      <c r="F56" s="5" t="inlineStr">
        <is>
          <t>技术/产品/设计/市场/职能</t>
        </is>
      </c>
      <c r="G56" s="5" t="inlineStr">
        <is>
          <t>深圳/北京/上海/成都/杭州</t>
        </is>
      </c>
      <c r="H56" s="4" t="inlineStr">
        <is>
          <t>本科及以上</t>
        </is>
      </c>
      <c r="I56" s="4" t="inlineStr">
        <is>
          <t>招满即止</t>
        </is>
      </c>
      <c r="J56" s="4">
        <f>IF(ISNUMBER($I56),IF($I56&lt;TODAY(),"已截止",$I56-TODAY()),$I56&amp;"")</f>
        <v/>
      </c>
      <c r="K56" s="5" t="inlineStr">
        <is>
          <t>join.qq.com</t>
        </is>
      </c>
      <c r="L56" s="5" t="inlineStr">
        <is>
          <t>官网FAQ：网申无硬性截止，建议8月投递</t>
        </is>
      </c>
      <c r="M56" s="6" t="inlineStr">
        <is>
          <t>2026-10-08</t>
        </is>
      </c>
      <c r="N56" s="4" t="inlineStr">
        <is>
          <t>确认滚动</t>
        </is>
      </c>
      <c r="O56" s="5" t="inlineStr">
        <is>
          <t>公开汇总(2026-09~10)</t>
        </is>
      </c>
    </row>
    <row r="57">
      <c r="A57" s="4" t="n">
        <v>53</v>
      </c>
      <c r="B57" s="4" t="inlineStr">
        <is>
          <t>阿里巴巴</t>
        </is>
      </c>
      <c r="C57" s="4" t="inlineStr">
        <is>
          <t>互联网</t>
        </is>
      </c>
      <c r="D57" s="4" t="inlineStr">
        <is>
          <t>民企</t>
        </is>
      </c>
      <c r="E57" s="4" t="inlineStr">
        <is>
          <t>正式批</t>
        </is>
      </c>
      <c r="F57" s="5" t="inlineStr">
        <is>
          <t>算法/研发/芯片/产品/游戏/运营/商务</t>
        </is>
      </c>
      <c r="G57" s="5" t="inlineStr">
        <is>
          <t>北京/上海/杭州/广州/深圳/成都</t>
        </is>
      </c>
      <c r="H57" s="4" t="inlineStr">
        <is>
          <t>本科及以上</t>
        </is>
      </c>
      <c r="I57" s="4" t="inlineStr">
        <is>
          <t>招满即止</t>
        </is>
      </c>
      <c r="J57" s="4">
        <f>IF(ISNUMBER($I57),IF($I57&lt;TODAY(),"已截止",$I57-TODAY()),$I57&amp;"")</f>
        <v/>
      </c>
      <c r="K57" s="5" t="inlineStr">
        <is>
          <t>talent.alibaba.com</t>
        </is>
      </c>
      <c r="L57" s="5" t="inlineStr">
        <is>
          <t>各业务线无统一截止，招满即止（部分约10月底）</t>
        </is>
      </c>
      <c r="M57" s="6" t="inlineStr">
        <is>
          <t>2026-10-08</t>
        </is>
      </c>
      <c r="N57" s="4" t="inlineStr">
        <is>
          <t>确认滚动</t>
        </is>
      </c>
      <c r="O57" s="5" t="inlineStr">
        <is>
          <t>公开汇总(2026-09~10)</t>
        </is>
      </c>
    </row>
    <row r="58">
      <c r="A58" s="4" t="n">
        <v>54</v>
      </c>
      <c r="B58" s="4" t="inlineStr">
        <is>
          <t>百度</t>
        </is>
      </c>
      <c r="C58" s="4" t="inlineStr">
        <is>
          <t>互联网</t>
        </is>
      </c>
      <c r="D58" s="4" t="inlineStr">
        <is>
          <t>民企</t>
        </is>
      </c>
      <c r="E58" s="4" t="inlineStr">
        <is>
          <t>正式批</t>
        </is>
      </c>
      <c r="F58" s="5" t="inlineStr">
        <is>
          <t>大模型算法/研发/AI基础设施/产品/商分</t>
        </is>
      </c>
      <c r="G58" s="5" t="inlineStr">
        <is>
          <t>北京为主</t>
        </is>
      </c>
      <c r="H58" s="4" t="inlineStr">
        <is>
          <t>本科及以上</t>
        </is>
      </c>
      <c r="I58" s="4" t="inlineStr">
        <is>
          <t>招满即止</t>
        </is>
      </c>
      <c r="J58" s="4">
        <f>IF(ISNUMBER($I58),IF($I58&lt;TODAY(),"已截止",$I58-TODAY()),$I58&amp;"")</f>
        <v/>
      </c>
      <c r="K58" s="5" t="inlineStr">
        <is>
          <t>talent.baidu.com</t>
        </is>
      </c>
      <c r="L58" s="5" t="inlineStr">
        <is>
          <t>投递通道全年开放(7/9–次年6月)</t>
        </is>
      </c>
      <c r="M58" s="6" t="inlineStr">
        <is>
          <t>2026-10-08</t>
        </is>
      </c>
      <c r="N58" s="4" t="inlineStr">
        <is>
          <t>确认滚动</t>
        </is>
      </c>
      <c r="O58" s="5" t="inlineStr">
        <is>
          <t>公开汇总(2026-09~10)</t>
        </is>
      </c>
    </row>
    <row r="59">
      <c r="A59" s="4" t="n">
        <v>55</v>
      </c>
      <c r="B59" s="4" t="inlineStr">
        <is>
          <t>大疆</t>
        </is>
      </c>
      <c r="C59" s="4" t="inlineStr">
        <is>
          <t>科技/硬件</t>
        </is>
      </c>
      <c r="D59" s="4" t="inlineStr">
        <is>
          <t>民企</t>
        </is>
      </c>
      <c r="E59" s="4" t="inlineStr">
        <is>
          <t>拓疆者计划</t>
        </is>
      </c>
      <c r="F59" s="5" t="inlineStr">
        <is>
          <t>研发/算法</t>
        </is>
      </c>
      <c r="G59" s="5" t="inlineStr">
        <is>
          <t>深圳</t>
        </is>
      </c>
      <c r="H59" s="4" t="inlineStr">
        <is>
          <t>本科及以上</t>
        </is>
      </c>
      <c r="I59" s="4" t="inlineStr">
        <is>
          <t>招满即止</t>
        </is>
      </c>
      <c r="J59" s="4">
        <f>IF(ISNUMBER($I59),IF($I59&lt;TODAY(),"已截止",$I59-TODAY()),$I59&amp;"")</f>
        <v/>
      </c>
      <c r="K59" s="5" t="inlineStr">
        <is>
          <t>we.dji.com</t>
        </is>
      </c>
      <c r="L59" s="5" t="inlineStr">
        <is>
          <t>官网明示不设投递截止，招满即止</t>
        </is>
      </c>
      <c r="M59" s="6" t="inlineStr">
        <is>
          <t>2026-10-08</t>
        </is>
      </c>
      <c r="N59" s="4" t="inlineStr">
        <is>
          <t>确认滚动</t>
        </is>
      </c>
      <c r="O59" s="5" t="inlineStr">
        <is>
          <t>公开汇总(2026-09~10)</t>
        </is>
      </c>
    </row>
    <row r="60">
      <c r="A60" s="4" t="n">
        <v>56</v>
      </c>
      <c r="B60" s="4" t="inlineStr">
        <is>
          <t>搜狐</t>
        </is>
      </c>
      <c r="C60" s="4" t="inlineStr">
        <is>
          <t>互联网</t>
        </is>
      </c>
      <c r="D60" s="4" t="inlineStr">
        <is>
          <t>民企</t>
        </is>
      </c>
      <c r="E60" s="4" t="inlineStr">
        <is>
          <t>正式批</t>
        </is>
      </c>
      <c r="F60" s="5" t="inlineStr">
        <is>
          <t>算法/研发/产品/运营</t>
        </is>
      </c>
      <c r="G60" s="5" t="inlineStr">
        <is>
          <t>北京</t>
        </is>
      </c>
      <c r="H60" s="4" t="inlineStr">
        <is>
          <t>本科及以上</t>
        </is>
      </c>
      <c r="I60" s="4" t="inlineStr">
        <is>
          <t>招满即止</t>
        </is>
      </c>
      <c r="J60" s="4">
        <f>IF(ISNUMBER($I60),IF($I60&lt;TODAY(),"已截止",$I60-TODAY()),$I60&amp;"")</f>
        <v/>
      </c>
      <c r="K60" s="5" t="inlineStr">
        <is>
          <t>见招聘官网/公众号</t>
        </is>
      </c>
      <c r="L60" s="5" t="inlineStr">
        <is>
          <t>官网FAQ：8/6开放，招满即止</t>
        </is>
      </c>
      <c r="M60" s="6" t="inlineStr">
        <is>
          <t>2026-10-08</t>
        </is>
      </c>
      <c r="N60" s="4" t="inlineStr">
        <is>
          <t>确认滚动</t>
        </is>
      </c>
      <c r="O60" s="5" t="inlineStr">
        <is>
          <t>公开汇总(2026-09~10)</t>
        </is>
      </c>
    </row>
    <row r="61">
      <c r="A61" s="4" t="n">
        <v>57</v>
      </c>
      <c r="B61" s="4" t="inlineStr">
        <is>
          <t>中国联通</t>
        </is>
      </c>
      <c r="C61" s="4" t="inlineStr">
        <is>
          <t>国企/央企</t>
        </is>
      </c>
      <c r="D61" s="4" t="inlineStr">
        <is>
          <t>央企</t>
        </is>
      </c>
      <c r="E61" s="4" t="inlineStr">
        <is>
          <t>正式批</t>
        </is>
      </c>
      <c r="F61" s="5" t="inlineStr">
        <is>
          <t>通信/计算机/大数据</t>
        </is>
      </c>
      <c r="G61" s="5" t="inlineStr">
        <is>
          <t>全国</t>
        </is>
      </c>
      <c r="H61" s="4" t="inlineStr">
        <is>
          <t>本科及以上</t>
        </is>
      </c>
      <c r="I61" s="4" t="inlineStr">
        <is>
          <t>招满即止</t>
        </is>
      </c>
      <c r="J61" s="4">
        <f>IF(ISNUMBER($I61),IF($I61&lt;TODAY(),"已截止",$I61-TODAY()),$I61&amp;"")</f>
        <v/>
      </c>
      <c r="K61" s="5" t="inlineStr">
        <is>
          <t>见招聘官网/公众号</t>
        </is>
      </c>
      <c r="L61" s="5" t="inlineStr">
        <is>
          <t>集团招满即止；京/湘联通约11/18</t>
        </is>
      </c>
      <c r="M61" s="6" t="inlineStr">
        <is>
          <t>2026-10-08</t>
        </is>
      </c>
      <c r="N61" s="4" t="inlineStr">
        <is>
          <t>确认滚动</t>
        </is>
      </c>
      <c r="O61" s="5" t="inlineStr">
        <is>
          <t>公开汇总(2026-09~10)</t>
        </is>
      </c>
    </row>
    <row r="62">
      <c r="A62" s="4" t="n">
        <v>58</v>
      </c>
      <c r="B62" s="4" t="inlineStr">
        <is>
          <t>国家电网</t>
        </is>
      </c>
      <c r="C62" s="4" t="inlineStr">
        <is>
          <t>国企/央企</t>
        </is>
      </c>
      <c r="D62" s="4" t="inlineStr">
        <is>
          <t>央企</t>
        </is>
      </c>
      <c r="E62" s="4" t="inlineStr">
        <is>
          <t>正式批(一批)</t>
        </is>
      </c>
      <c r="F62" s="5" t="inlineStr">
        <is>
          <t>电工/计算机/通信/财会</t>
        </is>
      </c>
      <c r="G62" s="5" t="inlineStr">
        <is>
          <t>全国</t>
        </is>
      </c>
      <c r="H62" s="4" t="inlineStr">
        <is>
          <t>本科及以上</t>
        </is>
      </c>
      <c r="I62" s="4" t="inlineStr">
        <is>
          <t>招满即止</t>
        </is>
      </c>
      <c r="J62" s="4">
        <f>IF(ISNUMBER($I62),IF($I62&lt;TODAY(),"已截止",$I62-TODAY()),$I62&amp;"")</f>
        <v/>
      </c>
      <c r="K62" s="5" t="inlineStr">
        <is>
          <t>zhaopin.sgcc.com.cn</t>
        </is>
      </c>
      <c r="L62" s="5" t="inlineStr">
        <is>
          <t>2027届一批公告尚未发布，网申约11月下旬（历年）</t>
        </is>
      </c>
      <c r="M62" s="6" t="inlineStr">
        <is>
          <t>2026-10-08</t>
        </is>
      </c>
      <c r="N62" s="4" t="inlineStr">
        <is>
          <t>待核实</t>
        </is>
      </c>
      <c r="O62" s="5" t="inlineStr">
        <is>
          <t>公开汇总(2026-09~10)</t>
        </is>
      </c>
    </row>
    <row r="63">
      <c r="A63" s="4" t="n">
        <v>59</v>
      </c>
      <c r="B63" s="4" t="inlineStr">
        <is>
          <t>中国铁路(各局)</t>
        </is>
      </c>
      <c r="C63" s="4" t="inlineStr">
        <is>
          <t>国企/央企</t>
        </is>
      </c>
      <c r="D63" s="4" t="inlineStr">
        <is>
          <t>央企</t>
        </is>
      </c>
      <c r="E63" s="4" t="inlineStr">
        <is>
          <t>正式批</t>
        </is>
      </c>
      <c r="F63" s="5" t="inlineStr">
        <is>
          <t>运输/机械/电务/多专业</t>
        </is>
      </c>
      <c r="G63" s="5" t="inlineStr">
        <is>
          <t>全国</t>
        </is>
      </c>
      <c r="H63" s="4" t="inlineStr">
        <is>
          <t>本科及以上</t>
        </is>
      </c>
      <c r="I63" s="4" t="inlineStr">
        <is>
          <t>招满即止</t>
        </is>
      </c>
      <c r="J63" s="4">
        <f>IF(ISNUMBER($I63),IF($I63&lt;TODAY(),"已截止",$I63-TODAY()),$I63&amp;"")</f>
        <v/>
      </c>
      <c r="K63" s="5" t="inlineStr">
        <is>
          <t>rczp.china-railway.com.cn</t>
        </is>
      </c>
      <c r="L63" s="5" t="inlineStr">
        <is>
          <t>各铁路局自主，多数约11月上旬；成都局本科批12/4</t>
        </is>
      </c>
      <c r="M63" s="6" t="inlineStr">
        <is>
          <t>2026-10-08</t>
        </is>
      </c>
      <c r="N63" s="4" t="inlineStr">
        <is>
          <t>第三方汇总</t>
        </is>
      </c>
      <c r="O63" s="5" t="inlineStr">
        <is>
          <t>公开汇总(2026-09~10)</t>
        </is>
      </c>
    </row>
    <row r="64">
      <c r="A64" s="4" t="n">
        <v>60</v>
      </c>
      <c r="B64" s="4" t="inlineStr">
        <is>
          <t>中国烟草(各省)</t>
        </is>
      </c>
      <c r="C64" s="4" t="inlineStr">
        <is>
          <t>国企/央企</t>
        </is>
      </c>
      <c r="D64" s="4" t="inlineStr">
        <is>
          <t>央企</t>
        </is>
      </c>
      <c r="E64" s="4" t="inlineStr">
        <is>
          <t>正式批</t>
        </is>
      </c>
      <c r="F64" s="5" t="inlineStr">
        <is>
          <t>多专业</t>
        </is>
      </c>
      <c r="G64" s="5" t="inlineStr">
        <is>
          <t>各省</t>
        </is>
      </c>
      <c r="H64" s="4" t="inlineStr">
        <is>
          <t>本科及以上</t>
        </is>
      </c>
      <c r="I64" s="4" t="inlineStr">
        <is>
          <t>招满即止</t>
        </is>
      </c>
      <c r="J64" s="4">
        <f>IF(ISNUMBER($I64),IF($I64&lt;TODAY(),"已截止",$I64-TODAY()),$I64&amp;"")</f>
        <v/>
      </c>
      <c r="K64" s="5" t="inlineStr">
        <is>
          <t>各省烟草官网</t>
        </is>
      </c>
      <c r="L64" s="5" t="inlineStr">
        <is>
          <t>各省自主公告，网申窗口约7–15天，多集中10–12月</t>
        </is>
      </c>
      <c r="M64" s="6" t="inlineStr">
        <is>
          <t>2026-10-08</t>
        </is>
      </c>
      <c r="N64" s="4" t="inlineStr">
        <is>
          <t>待核实</t>
        </is>
      </c>
      <c r="O64" s="5" t="inlineStr">
        <is>
          <t>公开汇总(2026-09~10)</t>
        </is>
      </c>
    </row>
    <row r="65">
      <c r="A65" s="4" t="n">
        <v>61</v>
      </c>
      <c r="B65" s="4" t="inlineStr">
        <is>
          <t>滴滴</t>
        </is>
      </c>
      <c r="C65" s="4" t="inlineStr">
        <is>
          <t>互联网</t>
        </is>
      </c>
      <c r="D65" s="4" t="inlineStr">
        <is>
          <t>民企</t>
        </is>
      </c>
      <c r="E65" s="4" t="inlineStr">
        <is>
          <t>正式批</t>
        </is>
      </c>
      <c r="F65" s="5" t="inlineStr">
        <is>
          <t>技术/算法/产品/运营</t>
        </is>
      </c>
      <c r="G65" s="5" t="inlineStr">
        <is>
          <t>北京</t>
        </is>
      </c>
      <c r="H65" s="4" t="inlineStr">
        <is>
          <t>本科及以上</t>
        </is>
      </c>
      <c r="I65" s="4" t="inlineStr">
        <is>
          <t>招满即止</t>
        </is>
      </c>
      <c r="J65" s="4">
        <f>IF(ISNUMBER($I65),IF($I65&lt;TODAY(),"已截止",$I65-TODAY()),$I65&amp;"")</f>
        <v/>
      </c>
      <c r="K65" s="5" t="inlineStr">
        <is>
          <t>talent.didiglobal.com</t>
        </is>
      </c>
      <c r="L65" s="5" t="inlineStr">
        <is>
          <t>官方：8/13起投递，岗位招满即关闭</t>
        </is>
      </c>
      <c r="M65" s="6" t="inlineStr">
        <is>
          <t>2026-10-08</t>
        </is>
      </c>
      <c r="N65" s="4" t="inlineStr">
        <is>
          <t>确认滚动</t>
        </is>
      </c>
      <c r="O65" s="5" t="inlineStr">
        <is>
          <t>公开汇总(2026-10补充)</t>
        </is>
      </c>
    </row>
    <row r="66">
      <c r="A66" s="4" t="n">
        <v>62</v>
      </c>
      <c r="B66" s="4" t="inlineStr">
        <is>
          <t>比亚迪</t>
        </is>
      </c>
      <c r="C66" s="4" t="inlineStr">
        <is>
          <t>新能源/汽车</t>
        </is>
      </c>
      <c r="D66" s="4" t="inlineStr">
        <is>
          <t>民企</t>
        </is>
      </c>
      <c r="E66" s="4" t="inlineStr">
        <is>
          <t>正式批</t>
        </is>
      </c>
      <c r="F66" s="5" t="inlineStr">
        <is>
          <t>汽车研发/机械/电气/软件/供应链</t>
        </is>
      </c>
      <c r="G66" s="5" t="inlineStr">
        <is>
          <t>深圳/全国</t>
        </is>
      </c>
      <c r="H66" s="4" t="inlineStr">
        <is>
          <t>本科及以上</t>
        </is>
      </c>
      <c r="I66" s="4" t="inlineStr">
        <is>
          <t>招满即止</t>
        </is>
      </c>
      <c r="J66" s="4">
        <f>IF(ISNUMBER($I66),IF($I66&lt;TODAY(),"已截止",$I66-TODAY()),$I66&amp;"")</f>
        <v/>
      </c>
      <c r="K66" s="5" t="inlineStr">
        <is>
          <t>job.byd.com</t>
        </is>
      </c>
      <c r="L66" s="5" t="inlineStr">
        <is>
          <t>2027届博士校招7/28启动，未公布截止</t>
        </is>
      </c>
      <c r="M66" s="6" t="inlineStr">
        <is>
          <t>2026-10-08</t>
        </is>
      </c>
      <c r="N66" s="4" t="inlineStr">
        <is>
          <t>待核实</t>
        </is>
      </c>
      <c r="O66" s="5" t="inlineStr">
        <is>
          <t>公开汇总(2026-10补充)</t>
        </is>
      </c>
    </row>
    <row r="67">
      <c r="A67" s="4" t="n">
        <v>63</v>
      </c>
      <c r="B67" s="4" t="inlineStr">
        <is>
          <t>普华永道PwC</t>
        </is>
      </c>
      <c r="C67" s="4" t="inlineStr">
        <is>
          <t>专业服务</t>
        </is>
      </c>
      <c r="D67" s="4" t="inlineStr">
        <is>
          <t>外企</t>
        </is>
      </c>
      <c r="E67" s="4" t="inlineStr">
        <is>
          <t>正式批</t>
        </is>
      </c>
      <c r="F67" s="5" t="inlineStr">
        <is>
          <t>审计/税务/咨询</t>
        </is>
      </c>
      <c r="G67" s="5" t="inlineStr">
        <is>
          <t>全国主要城市</t>
        </is>
      </c>
      <c r="H67" s="4" t="inlineStr">
        <is>
          <t>本科及以上</t>
        </is>
      </c>
      <c r="I67" s="4" t="inlineStr">
        <is>
          <t>招满即止</t>
        </is>
      </c>
      <c r="J67" s="4">
        <f>IF(ISNUMBER($I67),IF($I67&lt;TODAY(),"已截止",$I67-TODAY()),$I67&amp;"")</f>
        <v/>
      </c>
      <c r="K67" s="5" t="inlineStr">
        <is>
          <t>www.pwccn.com</t>
        </is>
      </c>
      <c r="L67" s="5" t="inlineStr">
        <is>
          <t>官网滚动招聘、招满即止（10/31为学校口径，已修正）</t>
        </is>
      </c>
      <c r="M67" s="6" t="inlineStr">
        <is>
          <t>2026-10-08</t>
        </is>
      </c>
      <c r="N67" s="4" t="inlineStr">
        <is>
          <t>确认滚动</t>
        </is>
      </c>
      <c r="O67" s="5" t="inlineStr">
        <is>
          <t>公开汇总(2026-10补充)</t>
        </is>
      </c>
    </row>
    <row r="68">
      <c r="A68" s="4" t="n">
        <v>64</v>
      </c>
      <c r="B68" s="4" t="inlineStr">
        <is>
          <t>毕马威KPMG</t>
        </is>
      </c>
      <c r="C68" s="4" t="inlineStr">
        <is>
          <t>专业服务</t>
        </is>
      </c>
      <c r="D68" s="4" t="inlineStr">
        <is>
          <t>外企</t>
        </is>
      </c>
      <c r="E68" s="4" t="inlineStr">
        <is>
          <t>正式批</t>
        </is>
      </c>
      <c r="F68" s="5" t="inlineStr">
        <is>
          <t>审计/税务/咨询</t>
        </is>
      </c>
      <c r="G68" s="5" t="inlineStr">
        <is>
          <t>全国主要城市</t>
        </is>
      </c>
      <c r="H68" s="4" t="inlineStr">
        <is>
          <t>本科及以上</t>
        </is>
      </c>
      <c r="I68" s="4" t="inlineStr">
        <is>
          <t>招满即止</t>
        </is>
      </c>
      <c r="J68" s="4">
        <f>IF(ISNUMBER($I68),IF($I68&lt;TODAY(),"已截止",$I68-TODAY()),$I68&amp;"")</f>
        <v/>
      </c>
      <c r="K68" s="5" t="inlineStr">
        <is>
          <t>kpmg.com</t>
        </is>
      </c>
      <c r="L68" s="5" t="inlineStr">
        <is>
          <t>官网：持续开放、分批安排（10/31为学校口径，已修正）</t>
        </is>
      </c>
      <c r="M68" s="6" t="inlineStr">
        <is>
          <t>2026-10-08</t>
        </is>
      </c>
      <c r="N68" s="4" t="inlineStr">
        <is>
          <t>确认滚动</t>
        </is>
      </c>
      <c r="O68" s="5" t="inlineStr">
        <is>
          <t>公开汇总(2026-10补充)</t>
        </is>
      </c>
    </row>
    <row r="69">
      <c r="A69" s="4" t="n">
        <v>65</v>
      </c>
      <c r="B69" s="4" t="inlineStr">
        <is>
          <t>中信证券</t>
        </is>
      </c>
      <c r="C69" s="4" t="inlineStr">
        <is>
          <t>券商</t>
        </is>
      </c>
      <c r="D69" s="4" t="inlineStr">
        <is>
          <t>国企</t>
        </is>
      </c>
      <c r="E69" s="4" t="inlineStr">
        <is>
          <t>正式批</t>
        </is>
      </c>
      <c r="F69" s="5" t="inlineStr">
        <is>
          <t>投行/研究/经纪/IT/风控</t>
        </is>
      </c>
      <c r="G69" s="5" t="inlineStr">
        <is>
          <t>北京/全国</t>
        </is>
      </c>
      <c r="H69" s="4" t="inlineStr">
        <is>
          <t>硕士优先</t>
        </is>
      </c>
      <c r="I69" s="4" t="inlineStr">
        <is>
          <t>招满即止</t>
        </is>
      </c>
      <c r="J69" s="4">
        <f>IF(ISNUMBER($I69),IF($I69&lt;TODAY(),"已截止",$I69-TODAY()),$I69&amp;"")</f>
        <v/>
      </c>
      <c r="K69" s="5" t="inlineStr">
        <is>
          <t>campus.citics.com</t>
        </is>
      </c>
      <c r="L69" s="5" t="inlineStr">
        <is>
          <t>总部约10月中下旬；分支9月–次年4月滚动</t>
        </is>
      </c>
      <c r="M69" s="6" t="inlineStr">
        <is>
          <t>2026-10-08</t>
        </is>
      </c>
      <c r="N69" s="4" t="inlineStr">
        <is>
          <t>待核实</t>
        </is>
      </c>
      <c r="O69" s="5" t="inlineStr">
        <is>
          <t>公开汇总(2026-10补充)</t>
        </is>
      </c>
    </row>
    <row r="70">
      <c r="A70" s="4" t="n">
        <v>66</v>
      </c>
      <c r="B70" s="4" t="inlineStr">
        <is>
          <t>网易有道</t>
        </is>
      </c>
      <c r="C70" s="4" t="inlineStr">
        <is>
          <t>互联网</t>
        </is>
      </c>
      <c r="D70" s="4" t="inlineStr">
        <is>
          <t>民企</t>
        </is>
      </c>
      <c r="E70" s="4" t="inlineStr">
        <is>
          <t>正式批</t>
        </is>
      </c>
      <c r="F70" s="5" t="inlineStr">
        <is>
          <t>技术/产品/教育运营</t>
        </is>
      </c>
      <c r="G70" s="5" t="inlineStr">
        <is>
          <t>北京</t>
        </is>
      </c>
      <c r="H70" s="4" t="inlineStr">
        <is>
          <t>本科及以上</t>
        </is>
      </c>
      <c r="I70" s="4" t="inlineStr">
        <is>
          <t>招满即止</t>
        </is>
      </c>
      <c r="J70" s="4">
        <f>IF(ISNUMBER($I70),IF($I70&lt;TODAY(),"已截止",$I70-TODAY()),$I70&amp;"")</f>
        <v/>
      </c>
      <c r="K70" s="5" t="inlineStr">
        <is>
          <t>campus.youdao.com</t>
        </is>
      </c>
      <c r="L70" s="5" t="inlineStr">
        <is>
          <t>官方简章：8/31起招满即止</t>
        </is>
      </c>
      <c r="M70" s="6" t="inlineStr">
        <is>
          <t>2026-10-08</t>
        </is>
      </c>
      <c r="N70" s="4" t="inlineStr">
        <is>
          <t>确认滚动</t>
        </is>
      </c>
      <c r="O70" s="5" t="inlineStr">
        <is>
          <t>公开汇总(2026-10补充)</t>
        </is>
      </c>
    </row>
    <row r="71">
      <c r="A71" s="4" t="n">
        <v>67</v>
      </c>
      <c r="B71" s="4" t="inlineStr">
        <is>
          <t>OPPO</t>
        </is>
      </c>
      <c r="C71" s="4" t="inlineStr">
        <is>
          <t>科技/硬件</t>
        </is>
      </c>
      <c r="D71" s="4" t="inlineStr">
        <is>
          <t>民企</t>
        </is>
      </c>
      <c r="E71" s="4" t="inlineStr">
        <is>
          <t>正式批</t>
        </is>
      </c>
      <c r="F71" s="5" t="inlineStr">
        <is>
          <t>软件/硬件/研发/供应链</t>
        </is>
      </c>
      <c r="G71" s="5" t="inlineStr">
        <is>
          <t>东莞/深圳</t>
        </is>
      </c>
      <c r="H71" s="4" t="inlineStr">
        <is>
          <t>本科及以上</t>
        </is>
      </c>
      <c r="I71" s="4" t="inlineStr">
        <is>
          <t>招满即止</t>
        </is>
      </c>
      <c r="J71" s="4">
        <f>IF(ISNUMBER($I71),IF($I71&lt;TODAY(),"已截止",$I71-TODAY()),$I71&amp;"")</f>
        <v/>
      </c>
      <c r="K71" s="5" t="inlineStr">
        <is>
          <t>careers.oppo.com</t>
        </is>
      </c>
      <c r="L71" s="5" t="inlineStr">
        <is>
          <t>官网：岗位招满即止，不分提前/正式批</t>
        </is>
      </c>
      <c r="M71" s="6" t="inlineStr">
        <is>
          <t>2026-10-08</t>
        </is>
      </c>
      <c r="N71" s="4" t="inlineStr">
        <is>
          <t>确认滚动</t>
        </is>
      </c>
      <c r="O71" s="5" t="inlineStr">
        <is>
          <t>公开汇总(2026-10补充)</t>
        </is>
      </c>
    </row>
    <row r="72">
      <c r="A72" t="n">
        <v>68</v>
      </c>
      <c r="B72" t="inlineStr">
        <is>
          <t>中国民生银行</t>
        </is>
      </c>
      <c r="C72" t="inlineStr">
        <is>
          <t>银行</t>
        </is>
      </c>
      <c r="D72" t="inlineStr">
        <is>
          <t>股份制</t>
        </is>
      </c>
      <c r="E72" t="inlineStr">
        <is>
          <t>正式批</t>
        </is>
      </c>
      <c r="F72" t="inlineStr">
        <is>
          <t>软件开发/金融科技/职能/市场/财税</t>
        </is>
      </c>
      <c r="G72" t="inlineStr">
        <is>
          <t>全国</t>
        </is>
      </c>
      <c r="H72" t="inlineStr">
        <is>
          <t>本科及以上</t>
        </is>
      </c>
      <c r="I72" t="inlineStr">
        <is>
          <t>2026-10-25</t>
        </is>
      </c>
      <c r="J72">
        <f>IF(ISNUMBER($I72),$I72-TODAY(),"")</f>
        <v/>
      </c>
      <c r="K72" t="inlineStr">
        <is>
          <t>career.cmbc.com.cn</t>
        </is>
      </c>
      <c r="L72" t="inlineStr">
        <is>
          <t>总行、分行、附属机构；STEM 或金融科技复合背景优先</t>
        </is>
      </c>
      <c r="M72" t="inlineStr">
        <is>
          <t>2026-10-10</t>
        </is>
      </c>
      <c r="N72" t="inlineStr">
        <is>
          <t>就业网转发</t>
        </is>
      </c>
      <c r="O72" t="inlineStr">
        <is>
          <t>嘉庚学院就业网汇总(2026-09-28)</t>
        </is>
      </c>
    </row>
    <row r="73">
      <c r="A73" t="n">
        <v>69</v>
      </c>
      <c r="B73" t="inlineStr">
        <is>
          <t>宁波银行</t>
        </is>
      </c>
      <c r="C73" t="inlineStr">
        <is>
          <t>银行</t>
        </is>
      </c>
      <c r="D73" t="inlineStr">
        <is>
          <t>城商行</t>
        </is>
      </c>
      <c r="E73" t="inlineStr">
        <is>
          <t>正式批</t>
        </is>
      </c>
      <c r="F73" t="inlineStr">
        <is>
          <t>总行培训生/金融科技定向生/分支行培训生</t>
        </is>
      </c>
      <c r="G73" t="inlineStr">
        <is>
          <t>宁波等</t>
        </is>
      </c>
      <c r="H73" t="inlineStr">
        <is>
          <t>本科及以上</t>
        </is>
      </c>
      <c r="I73" t="inlineStr">
        <is>
          <t>2026-10-31</t>
        </is>
      </c>
      <c r="J73">
        <f>IF(ISNUMBER($I73),$I73-TODAY(),"")</f>
        <v/>
      </c>
      <c r="K73" t="inlineStr">
        <is>
          <t>zhaopin.nbcb.com.cn</t>
        </is>
      </c>
      <c r="L73" t="inlineStr">
        <is>
          <t>总行、分支机构、子公司；专业不限</t>
        </is>
      </c>
      <c r="M73" t="inlineStr">
        <is>
          <t>2026-10-10</t>
        </is>
      </c>
      <c r="N73" t="inlineStr">
        <is>
          <t>就业网转发</t>
        </is>
      </c>
      <c r="O73" t="inlineStr">
        <is>
          <t>嘉庚学院就业网汇总(2026-09-28)</t>
        </is>
      </c>
    </row>
    <row r="74">
      <c r="A74" t="n">
        <v>70</v>
      </c>
      <c r="B74" t="inlineStr">
        <is>
          <t>浙商银行</t>
        </is>
      </c>
      <c r="C74" t="inlineStr">
        <is>
          <t>银行</t>
        </is>
      </c>
      <c r="D74" t="inlineStr">
        <is>
          <t>股份制</t>
        </is>
      </c>
      <c r="E74" t="inlineStr">
        <is>
          <t>正式批</t>
        </is>
      </c>
      <c r="F74" t="inlineStr">
        <is>
          <t>总行/分行（北京杭州上海南京广州宁波）</t>
        </is>
      </c>
      <c r="G74" t="inlineStr">
        <is>
          <t>全国</t>
        </is>
      </c>
      <c r="H74" t="inlineStr">
        <is>
          <t>本科及以上</t>
        </is>
      </c>
      <c r="I74" t="inlineStr">
        <is>
          <t>2026-10-25</t>
        </is>
      </c>
      <c r="J74">
        <f>IF(ISNUMBER($I74),$I74-TODAY(),"")</f>
        <v/>
      </c>
      <c r="K74" t="inlineStr">
        <is>
          <t>zp.czbank.com.cn</t>
        </is>
      </c>
      <c r="L74" t="inlineStr">
        <is>
          <t>专业不限，电子信息/计算机/化工制药等理工类优先</t>
        </is>
      </c>
      <c r="M74" t="inlineStr">
        <is>
          <t>2026-10-10</t>
        </is>
      </c>
      <c r="N74" t="inlineStr">
        <is>
          <t>就业网转发</t>
        </is>
      </c>
      <c r="O74" t="inlineStr">
        <is>
          <t>嘉庚学院就业网汇总(2026-09-28)</t>
        </is>
      </c>
    </row>
    <row r="75">
      <c r="A75" t="n">
        <v>71</v>
      </c>
      <c r="B75" t="inlineStr">
        <is>
          <t>华夏银行</t>
        </is>
      </c>
      <c r="C75" t="inlineStr">
        <is>
          <t>银行</t>
        </is>
      </c>
      <c r="D75" t="inlineStr">
        <is>
          <t>股份制</t>
        </is>
      </c>
      <c r="E75" t="inlineStr">
        <is>
          <t>正式批</t>
        </is>
      </c>
      <c r="F75" t="inlineStr">
        <is>
          <t>管培生岗/经办岗</t>
        </is>
      </c>
      <c r="G75" t="inlineStr">
        <is>
          <t>全国</t>
        </is>
      </c>
      <c r="H75" t="inlineStr">
        <is>
          <t>本科及以上</t>
        </is>
      </c>
      <c r="I75" t="inlineStr">
        <is>
          <t>2026-10-25</t>
        </is>
      </c>
      <c r="J75">
        <f>IF(ISNUMBER($I75),$I75-TODAY(),"")</f>
        <v/>
      </c>
      <c r="K75" t="inlineStr">
        <is>
          <t>wecruit.hotjob.cn</t>
        </is>
      </c>
      <c r="L75" t="inlineStr">
        <is>
          <t>总行、分行、子公司；信息科技/数统/经金/财会等</t>
        </is>
      </c>
      <c r="M75" t="inlineStr">
        <is>
          <t>2026-10-10</t>
        </is>
      </c>
      <c r="N75" t="inlineStr">
        <is>
          <t>就业网转发</t>
        </is>
      </c>
      <c r="O75" t="inlineStr">
        <is>
          <t>嘉庚学院就业网汇总(2026-09-28)</t>
        </is>
      </c>
    </row>
    <row r="76">
      <c r="A76" t="n">
        <v>72</v>
      </c>
      <c r="B76" t="inlineStr">
        <is>
          <t>广发银行</t>
        </is>
      </c>
      <c r="C76" t="inlineStr">
        <is>
          <t>银行</t>
        </is>
      </c>
      <c r="D76" t="inlineStr">
        <is>
          <t>股份制</t>
        </is>
      </c>
      <c r="E76" t="inlineStr">
        <is>
          <t>正式批</t>
        </is>
      </c>
      <c r="F76" t="inlineStr">
        <is>
          <t>营销/科技/投资/法律/财会/纪检</t>
        </is>
      </c>
      <c r="G76" t="inlineStr">
        <is>
          <t>全国</t>
        </is>
      </c>
      <c r="H76" t="inlineStr">
        <is>
          <t>本科及以上</t>
        </is>
      </c>
      <c r="I76" t="inlineStr">
        <is>
          <t>2026-10-15</t>
        </is>
      </c>
      <c r="J76">
        <f>IF(ISNUMBER($I76),$I76-TODAY(),"")</f>
        <v/>
      </c>
      <c r="K76" t="inlineStr">
        <is>
          <t>www.cgbchina.com.cn</t>
        </is>
      </c>
      <c r="L76" t="inlineStr">
        <is>
          <t>总行、分行、信用卡中心、广银理财</t>
        </is>
      </c>
      <c r="M76" t="inlineStr">
        <is>
          <t>2026-10-10</t>
        </is>
      </c>
      <c r="N76" t="inlineStr">
        <is>
          <t>就业网转发</t>
        </is>
      </c>
      <c r="O76" t="inlineStr">
        <is>
          <t>嘉庚学院就业网汇总(2026-09-28)</t>
        </is>
      </c>
    </row>
    <row r="77">
      <c r="A77" t="n">
        <v>73</v>
      </c>
      <c r="B77" t="inlineStr">
        <is>
          <t>青岛银行</t>
        </is>
      </c>
      <c r="C77" t="inlineStr">
        <is>
          <t>银行</t>
        </is>
      </c>
      <c r="D77" t="inlineStr">
        <is>
          <t>城商行</t>
        </is>
      </c>
      <c r="E77" t="inlineStr">
        <is>
          <t>正式批</t>
        </is>
      </c>
      <c r="F77" t="inlineStr">
        <is>
          <t>招聘183人</t>
        </is>
      </c>
      <c r="G77" t="inlineStr">
        <is>
          <t>青岛等</t>
        </is>
      </c>
      <c r="H77" t="inlineStr">
        <is>
          <t>本科及以上</t>
        </is>
      </c>
      <c r="I77" t="inlineStr">
        <is>
          <t>2026-12-31</t>
        </is>
      </c>
      <c r="J77">
        <f>IF(ISNUMBER($I77),$I77-TODAY(),"")</f>
        <v/>
      </c>
      <c r="K77" t="inlineStr">
        <is>
          <t>见招聘官网/公众号</t>
        </is>
      </c>
      <c r="L77" t="inlineStr">
        <is>
          <t>截止日为「12月31前」，未给具体时点</t>
        </is>
      </c>
      <c r="M77" t="inlineStr">
        <is>
          <t>2026-10-10</t>
        </is>
      </c>
      <c r="N77" t="inlineStr">
        <is>
          <t>第三方汇总</t>
        </is>
      </c>
      <c r="O77" t="inlineStr">
        <is>
          <t>中公网银行公告汇总(2026-09-04)</t>
        </is>
      </c>
    </row>
    <row r="78">
      <c r="A78" t="n">
        <v>74</v>
      </c>
      <c r="B78" t="inlineStr">
        <is>
          <t>曲靖市商业银行</t>
        </is>
      </c>
      <c r="C78" t="inlineStr">
        <is>
          <t>银行</t>
        </is>
      </c>
      <c r="D78" t="inlineStr">
        <is>
          <t>城商行</t>
        </is>
      </c>
      <c r="E78" t="inlineStr">
        <is>
          <t>正式批</t>
        </is>
      </c>
      <c r="F78" t="inlineStr">
        <is>
          <t>秋季校园招聘30人</t>
        </is>
      </c>
      <c r="G78" t="inlineStr">
        <is>
          <t>曲靖</t>
        </is>
      </c>
      <c r="H78" t="inlineStr">
        <is>
          <t>本科及以上</t>
        </is>
      </c>
      <c r="I78" t="inlineStr">
        <is>
          <t>2026-09-30</t>
        </is>
      </c>
      <c r="J78">
        <f>IF(ISNUMBER($I78),$I78-TODAY(),"")</f>
        <v/>
      </c>
      <c r="K78" t="inlineStr">
        <is>
          <t>见招聘官网/公众号</t>
        </is>
      </c>
      <c r="L78" t="inlineStr">
        <is>
          <t>9月30日止，按 10-10 计算已截止</t>
        </is>
      </c>
      <c r="M78" t="inlineStr">
        <is>
          <t>2026-10-10</t>
        </is>
      </c>
      <c r="N78" t="inlineStr">
        <is>
          <t>第三方汇总</t>
        </is>
      </c>
      <c r="O78" t="inlineStr">
        <is>
          <t>中公网银行公告汇总(2026-09-04)</t>
        </is>
      </c>
    </row>
    <row r="79">
      <c r="A79" t="n">
        <v>75</v>
      </c>
      <c r="B79" t="inlineStr">
        <is>
          <t>中国光大银行</t>
        </is>
      </c>
      <c r="C79" t="inlineStr">
        <is>
          <t>银行</t>
        </is>
      </c>
      <c r="D79" t="inlineStr">
        <is>
          <t>股份制</t>
        </is>
      </c>
      <c r="E79" t="inlineStr">
        <is>
          <t>正式批</t>
        </is>
      </c>
      <c r="F79" t="inlineStr">
        <is>
          <t>秋季校园招聘</t>
        </is>
      </c>
      <c r="G79" t="inlineStr">
        <is>
          <t>全国</t>
        </is>
      </c>
      <c r="H79" t="inlineStr">
        <is>
          <t>本科及以上</t>
        </is>
      </c>
      <c r="I79" t="inlineStr"/>
      <c r="J79">
        <f>IF(ISNUMBER($I79),$I79-TODAY(),"")</f>
        <v/>
      </c>
      <c r="K79" t="inlineStr">
        <is>
          <t>见招聘官网/公众号</t>
        </is>
      </c>
      <c r="L79" t="inlineStr">
        <is>
          <t>2026-10-09 发布新公告，截止日未在汇总页列出</t>
        </is>
      </c>
      <c r="M79" t="inlineStr">
        <is>
          <t>2026-10-10</t>
        </is>
      </c>
      <c r="N79" t="inlineStr">
        <is>
          <t>第三方汇总</t>
        </is>
      </c>
      <c r="O79" t="inlineStr">
        <is>
          <t>中公网银行公告汇总(2026-10-09)</t>
        </is>
      </c>
    </row>
    <row r="80">
      <c r="A80" t="n">
        <v>76</v>
      </c>
      <c r="B80" t="inlineStr">
        <is>
          <t>厦门银行</t>
        </is>
      </c>
      <c r="C80" t="inlineStr">
        <is>
          <t>银行</t>
        </is>
      </c>
      <c r="D80" t="inlineStr">
        <is>
          <t>城商行</t>
        </is>
      </c>
      <c r="E80" t="inlineStr">
        <is>
          <t>正式批</t>
        </is>
      </c>
      <c r="F80" t="inlineStr">
        <is>
          <t>总行管培生(综合/FinTech)、分行管培生、市场营销、柜面服务</t>
        </is>
      </c>
      <c r="G80" t="inlineStr">
        <is>
          <t>厦门等</t>
        </is>
      </c>
      <c r="H80" t="inlineStr">
        <is>
          <t>本科及以上</t>
        </is>
      </c>
      <c r="I80" t="inlineStr"/>
      <c r="J80">
        <f>IF(ISNUMBER($I80),$I80-TODAY(),"")</f>
        <v/>
      </c>
      <c r="K80" t="inlineStr">
        <is>
          <t>xmbank.mokahr.vip</t>
        </is>
      </c>
      <c r="L80" t="inlineStr">
        <is>
          <t>汇总页未列截止日</t>
        </is>
      </c>
      <c r="M80" t="inlineStr">
        <is>
          <t>2026-10-10</t>
        </is>
      </c>
      <c r="N80" t="inlineStr">
        <is>
          <t>就业网转发</t>
        </is>
      </c>
      <c r="O80" t="inlineStr">
        <is>
          <t>嘉庚学院就业网汇总(2026-09-28)</t>
        </is>
      </c>
    </row>
    <row r="81">
      <c r="A81" t="n">
        <v>77</v>
      </c>
      <c r="B81" t="inlineStr">
        <is>
          <t>重庆银行</t>
        </is>
      </c>
      <c r="C81" t="inlineStr">
        <is>
          <t>银行</t>
        </is>
      </c>
      <c r="D81" t="inlineStr">
        <is>
          <t>城商行</t>
        </is>
      </c>
      <c r="E81" t="inlineStr">
        <is>
          <t>正式批</t>
        </is>
      </c>
      <c r="F81" t="inlineStr">
        <is>
          <t>校园招聘218人</t>
        </is>
      </c>
      <c r="G81" t="inlineStr">
        <is>
          <t>重庆</t>
        </is>
      </c>
      <c r="H81" t="inlineStr">
        <is>
          <t>本科及以上</t>
        </is>
      </c>
      <c r="I81" t="inlineStr"/>
      <c r="J81">
        <f>IF(ISNUMBER($I81),$I81-TODAY(),"")</f>
        <v/>
      </c>
      <c r="K81" t="inlineStr">
        <is>
          <t>见招聘官网/公众号</t>
        </is>
      </c>
      <c r="L81" t="inlineStr">
        <is>
          <t>2026-09-28 发布，汇总页未列截止日</t>
        </is>
      </c>
      <c r="M81" t="inlineStr">
        <is>
          <t>2026-10-10</t>
        </is>
      </c>
      <c r="N81" t="inlineStr">
        <is>
          <t>第三方汇总</t>
        </is>
      </c>
      <c r="O81" t="inlineStr">
        <is>
          <t>中公网银行公告汇总(2026-09-28)</t>
        </is>
      </c>
    </row>
    <row r="82">
      <c r="A82" t="n">
        <v>78</v>
      </c>
      <c r="B82" t="inlineStr">
        <is>
          <t>乌鲁木齐银行</t>
        </is>
      </c>
      <c r="C82" t="inlineStr">
        <is>
          <t>银行</t>
        </is>
      </c>
      <c r="D82" t="inlineStr">
        <is>
          <t>城商行</t>
        </is>
      </c>
      <c r="E82" t="inlineStr">
        <is>
          <t>正式批</t>
        </is>
      </c>
      <c r="F82" t="inlineStr">
        <is>
          <t>秋季招聘</t>
        </is>
      </c>
      <c r="G82" t="inlineStr">
        <is>
          <t>乌鲁木齐</t>
        </is>
      </c>
      <c r="H82" t="inlineStr">
        <is>
          <t>本科及以上</t>
        </is>
      </c>
      <c r="I82" t="inlineStr"/>
      <c r="J82">
        <f>IF(ISNUMBER($I82),$I82-TODAY(),"")</f>
        <v/>
      </c>
      <c r="K82" t="inlineStr">
        <is>
          <t>见招聘官网/公众号</t>
        </is>
      </c>
      <c r="L82" t="inlineStr">
        <is>
          <t>汇总页未列截止日</t>
        </is>
      </c>
      <c r="M82" t="inlineStr">
        <is>
          <t>2026-10-10</t>
        </is>
      </c>
      <c r="N82" t="inlineStr">
        <is>
          <t>第三方汇总</t>
        </is>
      </c>
      <c r="O82" t="inlineStr">
        <is>
          <t>中公网银行公告汇总(2026-09-01)</t>
        </is>
      </c>
    </row>
    <row r="83">
      <c r="A83" t="n">
        <v>79</v>
      </c>
      <c r="B83" t="inlineStr">
        <is>
          <t>渤海银行</t>
        </is>
      </c>
      <c r="C83" t="inlineStr">
        <is>
          <t>银行</t>
        </is>
      </c>
      <c r="D83" t="inlineStr">
        <is>
          <t>股份制</t>
        </is>
      </c>
      <c r="E83" t="inlineStr">
        <is>
          <t>正式批</t>
        </is>
      </c>
      <c r="F83" t="inlineStr">
        <is>
          <t>秋季招聘（含北京分行）</t>
        </is>
      </c>
      <c r="G83" t="inlineStr">
        <is>
          <t>全国</t>
        </is>
      </c>
      <c r="H83" t="inlineStr">
        <is>
          <t>本科及以上</t>
        </is>
      </c>
      <c r="I83" t="inlineStr"/>
      <c r="J83">
        <f>IF(ISNUMBER($I83),$I83-TODAY(),"")</f>
        <v/>
      </c>
      <c r="K83" t="inlineStr">
        <is>
          <t>见招聘官网/公众号</t>
        </is>
      </c>
      <c r="L83" t="inlineStr">
        <is>
          <t>汇总页标注为社招/校招混合，截止日未列出</t>
        </is>
      </c>
      <c r="M83" t="inlineStr">
        <is>
          <t>2026-10-10</t>
        </is>
      </c>
      <c r="N83" t="inlineStr">
        <is>
          <t>第三方汇总</t>
        </is>
      </c>
      <c r="O83" t="inlineStr">
        <is>
          <t>中公网银行公告汇总(2026-09-01)</t>
        </is>
      </c>
    </row>
    <row r="84">
      <c r="A84" t="n">
        <v>80</v>
      </c>
      <c r="B84" t="inlineStr">
        <is>
          <t>徽商银行</t>
        </is>
      </c>
      <c r="C84" t="inlineStr">
        <is>
          <t>银行</t>
        </is>
      </c>
      <c r="D84" t="inlineStr">
        <is>
          <t>城商行</t>
        </is>
      </c>
      <c r="E84" t="inlineStr">
        <is>
          <t>正式批</t>
        </is>
      </c>
      <c r="F84" t="inlineStr">
        <is>
          <t>秋季招聘</t>
        </is>
      </c>
      <c r="G84" t="inlineStr">
        <is>
          <t>安徽等</t>
        </is>
      </c>
      <c r="H84" t="inlineStr">
        <is>
          <t>本科及以上</t>
        </is>
      </c>
      <c r="I84" t="inlineStr"/>
      <c r="J84">
        <f>IF(ISNUMBER($I84),$I84-TODAY(),"")</f>
        <v/>
      </c>
      <c r="K84" t="inlineStr">
        <is>
          <t>见招聘官网/公众号</t>
        </is>
      </c>
      <c r="L84" t="inlineStr">
        <is>
          <t>汇总页标注为「2026年社会招聘」，是否含校招待核</t>
        </is>
      </c>
      <c r="M84" t="inlineStr">
        <is>
          <t>2026-10-10</t>
        </is>
      </c>
      <c r="N84" t="inlineStr">
        <is>
          <t>第三方汇总</t>
        </is>
      </c>
      <c r="O84" t="inlineStr">
        <is>
          <t>中公网银行公告汇总(2026-08-31)</t>
        </is>
      </c>
    </row>
  </sheetData>
  <autoFilter ref="A4:O71"/>
  <conditionalFormatting sqref="A5:O71">
    <cfRule type="expression" priority="1" dxfId="0" stopIfTrue="0">
      <formula>AND(ISNUMBER($I5),$I5&lt;TODAY())</formula>
    </cfRule>
    <cfRule type="expression" priority="2" dxfId="1" stopIfTrue="0">
      <formula>AND(ISNUMBER($I5),$I5-TODAY()&gt;=0,$I5-TODAY()&lt;=7)</formula>
    </cfRule>
    <cfRule type="expression" priority="3" dxfId="2" stopIfTrue="0">
      <formula>AND(ISNUMBER($I5),$I5-TODAY()&gt;=8,$I5-TODAY()&lt;=15)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0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7" t="inlineStr">
        <is>
          <t>这份表怎么用</t>
        </is>
      </c>
    </row>
    <row r="3">
      <c r="A3" s="8" t="inlineStr">
        <is>
          <t>1</t>
        </is>
      </c>
      <c r="B3" s="9" t="inlineStr">
        <is>
          <t>红色 = 7 天内截止，橙色 = 8–15 天内截止，灰色 = 已截止。打开第一眼先看红和橙。</t>
        </is>
      </c>
    </row>
    <row r="4">
      <c r="A4" s="8" t="inlineStr">
        <is>
          <t>2</t>
        </is>
      </c>
      <c r="B4" s="9" t="inlineStr">
        <is>
          <t>「剩余天数」是活公式，随你打开文件的日期自动变；若某行显示“招满即止”，说明官方没有固定截止日。</t>
        </is>
      </c>
    </row>
    <row r="5">
      <c r="A5" s="8" t="inlineStr">
        <is>
          <t>3</t>
        </is>
      </c>
      <c r="B5" s="9" t="inlineStr">
        <is>
          <t>「核实状态」有五种：官网原文 / 就业网转发 / 官网已核验-今日截止（这三类为已核实）；确认滚动（官方明示无固定截止）；第三方汇总 / 待核实（来源较弱，请自行复核）。</t>
        </is>
      </c>
    </row>
    <row r="6">
      <c r="A6" s="8" t="inlineStr">
        <is>
          <t>4</t>
        </is>
      </c>
      <c r="B6" s="9" t="inlineStr">
        <is>
          <t>「核验日期」= 我打开官网或公告看到的那天。核验日期比截止日期更值得看，它说明这条信息的新鲜度。</t>
        </is>
      </c>
    </row>
    <row r="7">
      <c r="A7" s="8" t="inlineStr">
        <is>
          <t>5</t>
        </is>
      </c>
      <c r="B7" s="9" t="inlineStr">
        <is>
          <t>「数据来源」标明了每条信息来自哪一类渠道，第三方汇总的条目请你点开投递入口自己再过一遍。</t>
        </is>
      </c>
    </row>
    <row r="8">
      <c r="A8" s="8" t="inlineStr">
        <is>
          <t>6</t>
        </is>
      </c>
      <c r="B8" s="9" t="inlineStr">
        <is>
          <t>表里没有“大概”“预计”这种词。核不到固定日期的，我如实写“招满即止”。</t>
        </is>
      </c>
    </row>
    <row r="10">
      <c r="B10" s="7" t="inlineStr">
        <is>
          <t>关于家数与来源</t>
        </is>
      </c>
    </row>
    <row r="11">
      <c r="A11" s="8" t="inlineStr"/>
      <c r="B11" s="9" t="inlineStr">
        <is>
          <t>本表共 67 家企业，数据定版于 2026-10-08。其中来源较弱的条目已在“核实状态”列标注——我没有把它们藏起来，因为你需要知道哪些要自己再核一遍。</t>
        </is>
      </c>
    </row>
    <row r="13">
      <c r="B13" s="7" t="inlineStr">
        <is>
          <t>关于更新</t>
        </is>
      </c>
    </row>
    <row r="14">
      <c r="A14" s="8" t="inlineStr"/>
      <c r="B14" s="9" t="inlineStr">
        <is>
          <t>每周我会重新核验一遍官网。更新版直接发给你，已购的不用再买。</t>
        </is>
      </c>
    </row>
    <row r="16">
      <c r="B16" s="7" t="inlineStr">
        <is>
          <t>关于错误</t>
        </is>
      </c>
    </row>
    <row r="17">
      <c r="A17" s="8" t="inlineStr"/>
      <c r="B17" s="9" t="inlineStr">
        <is>
          <t>如果你发现哪一行和官网不一致，请告诉我——是我的核验出了问题，我会立刻改，并感谢你。</t>
        </is>
      </c>
    </row>
    <row r="19">
      <c r="B19" s="7" t="inlineStr">
        <is>
          <t>重要提醒</t>
        </is>
      </c>
    </row>
    <row r="20">
      <c r="A20" s="8" t="inlineStr"/>
      <c r="B20" s="9" t="inlineStr">
        <is>
          <t>截止日期变化快，投递前务必以企业官方招聘页为准。本表是帮你省掉“挨个找入口”的时间，不是替代官网。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2026-10-08T21:15:16Z</dcterms:created>
  <dcterms:modified xmlns:dcterms="http://purl.org/dc/terms/" xmlns:xsi="http://www.w3.org/2001/XMLSchema-instance" xsi:type="dcterms:W3CDTF">2026-10-09T21:37:16Z</dcterms:modified>
</cp:coreProperties>
</file>